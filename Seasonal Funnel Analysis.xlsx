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 Overview" sheetId="1" r:id="rId5"/>
    <sheet state="visible" name="Converstion Stats" sheetId="2" r:id="rId6"/>
    <sheet state="visible" name="Seasonal Cohorts" sheetId="3" r:id="rId7"/>
    <sheet state="visible" name="Funnel by Channel" sheetId="4" r:id="rId8"/>
    <sheet state="visible" name="By source" sheetId="5" r:id="rId9"/>
    <sheet state="visible" name="Discounting Impact" sheetId="6" r:id="rId10"/>
    <sheet state="visible" name="Summary" sheetId="7" r:id="rId11"/>
    <sheet state="visible" name="Categories " sheetId="8" r:id="rId12"/>
    <sheet state="visible" name="Georgaphy " sheetId="9" r:id="rId13"/>
    <sheet state="visible" name="Landing pages" sheetId="10" r:id="rId14"/>
  </sheets>
  <definedNames/>
  <calcPr/>
</workbook>
</file>

<file path=xl/sharedStrings.xml><?xml version="1.0" encoding="utf-8"?>
<sst xmlns="http://schemas.openxmlformats.org/spreadsheetml/2006/main" count="741" uniqueCount="189">
  <si>
    <t>Breakdown of users</t>
  </si>
  <si>
    <t>Users</t>
  </si>
  <si>
    <t>% Users</t>
  </si>
  <si>
    <t>Notes</t>
  </si>
  <si>
    <t>New User</t>
  </si>
  <si>
    <t>95% of users are new</t>
  </si>
  <si>
    <t>Returning User</t>
  </si>
  <si>
    <t>Total</t>
  </si>
  <si>
    <t>Funnel - New customers</t>
  </si>
  <si>
    <t>Funnel Stage</t>
  </si>
  <si>
    <t>Number</t>
  </si>
  <si>
    <t>% Conversion</t>
  </si>
  <si>
    <t>Intent Index</t>
  </si>
  <si>
    <t>stage_first_visit</t>
  </si>
  <si>
    <t>-</t>
  </si>
  <si>
    <t>stage_view_item</t>
  </si>
  <si>
    <t>Biggest drop off</t>
  </si>
  <si>
    <t>stage_add_to_cart</t>
  </si>
  <si>
    <t>stage_purchase</t>
  </si>
  <si>
    <t>stage_second_purchase</t>
  </si>
  <si>
    <t>Best conversion rates</t>
  </si>
  <si>
    <t>Stage Average</t>
  </si>
  <si>
    <t>Funnel - Existing Customers</t>
  </si>
  <si>
    <t>Significantly higher</t>
  </si>
  <si>
    <t>Similar rates to new customers</t>
  </si>
  <si>
    <t>Notes:</t>
  </si>
  <si>
    <t xml:space="preserve">. Existing users are more likely to browse and fall off at later stages compared to new customers. </t>
  </si>
  <si>
    <t>. % conversion higher at each stage in existing users, second purchase rates most similar returning users in period exhibiting similar behaviour.</t>
  </si>
  <si>
    <t>. Users with prior exposure demonstrate significantly higher purchase intent (18.9% vs 30.1%) and higher purchase rates (23.5% vs 31.6%), reinforcing that early funnel drop-offs are driven by unfamiliarity, poor fit, browsing behaviour rather (driven by seasonal spikes) rather than friction</t>
  </si>
  <si>
    <t>First Purchase</t>
  </si>
  <si>
    <t>Second puchase</t>
  </si>
  <si>
    <t>Number customers</t>
  </si>
  <si>
    <t>Avg days to purchase</t>
  </si>
  <si>
    <t>Median days to purchase</t>
  </si>
  <si>
    <t>Mode days to purchase</t>
  </si>
  <si>
    <t>p75 days</t>
  </si>
  <si>
    <t>p85 days</t>
  </si>
  <si>
    <t>p90 days</t>
  </si>
  <si>
    <t>. 85% of new users in this period purchased within 8 days of first visiting site - chose threshold as compromise between allowing enough days to purchase and enough post-seasonal shopping data</t>
  </si>
  <si>
    <t>Period</t>
  </si>
  <si>
    <t>users_total</t>
  </si>
  <si>
    <t>Avg new users per day</t>
  </si>
  <si>
    <t xml:space="preserve">Pre-Black Friday </t>
  </si>
  <si>
    <t>Lowest new users, highest purchase rate, add to cart rate very low</t>
  </si>
  <si>
    <t>Black Friday &amp; Cyber Monday</t>
  </si>
  <si>
    <t>High view item rate and high add to cart rate, normal purchase rate</t>
  </si>
  <si>
    <t>Christmas Period</t>
  </si>
  <si>
    <t>More users, low view item, high add to cart</t>
  </si>
  <si>
    <t>Post-Christmas</t>
  </si>
  <si>
    <t>Low view item, low add to cart, lower purchase rate</t>
  </si>
  <si>
    <t>period</t>
  </si>
  <si>
    <t>total_purchases</t>
  </si>
  <si>
    <t>unique_purchasers</t>
  </si>
  <si>
    <t>total_revenue</t>
  </si>
  <si>
    <t>avg_revenue_per_purchase</t>
  </si>
  <si>
    <t>purchases per day</t>
  </si>
  <si>
    <t>revenue per day</t>
  </si>
  <si>
    <t>Pre-Black Friday</t>
  </si>
  <si>
    <t>Black Friday / Cyber Monday</t>
  </si>
  <si>
    <t>Date Range</t>
  </si>
  <si>
    <t>Number of days</t>
  </si>
  <si>
    <t>Nov 1st - Nov 26th</t>
  </si>
  <si>
    <t>Nov 27th - Nov 30th</t>
  </si>
  <si>
    <t>Dec 1st - Dec 20th</t>
  </si>
  <si>
    <t>Dec 21st - Jan 23rd</t>
  </si>
  <si>
    <t>first visit to site</t>
  </si>
  <si>
    <t>Traffic Attribution</t>
  </si>
  <si>
    <t>medium</t>
  </si>
  <si>
    <t>Grand Total</t>
  </si>
  <si>
    <t>(data deleted)</t>
  </si>
  <si>
    <t>(none)</t>
  </si>
  <si>
    <t>&lt;Other&gt;</t>
  </si>
  <si>
    <t>cpc</t>
  </si>
  <si>
    <t>organic</t>
  </si>
  <si>
    <t>referral</t>
  </si>
  <si>
    <t>view_item</t>
  </si>
  <si>
    <t xml:space="preserve">first visit to site --) view_item </t>
  </si>
  <si>
    <t>add_to_cart</t>
  </si>
  <si>
    <t>view_item --) add to cart</t>
  </si>
  <si>
    <t>purchase</t>
  </si>
  <si>
    <t>add to cart --) purchase</t>
  </si>
  <si>
    <t>source</t>
  </si>
  <si>
    <t>campaign</t>
  </si>
  <si>
    <t>total_orders</t>
  </si>
  <si>
    <t>AOV</t>
  </si>
  <si>
    <t>% Traffic</t>
  </si>
  <si>
    <t>(referral)</t>
  </si>
  <si>
    <t>shop.googlemerchandisestore.com</t>
  </si>
  <si>
    <t>google</t>
  </si>
  <si>
    <t>. Due to the obfuscated nature of the public Google GA4 dataset, granular campaign-level names are unavailable</t>
  </si>
  <si>
    <t>discounted_orders</t>
  </si>
  <si>
    <t>discount_participation_rate</t>
  </si>
  <si>
    <t>discounted_aov</t>
  </si>
  <si>
    <t>full_price_aov</t>
  </si>
  <si>
    <t>uplift</t>
  </si>
  <si>
    <t>BF / CM</t>
  </si>
  <si>
    <t>Negligible</t>
  </si>
  <si>
    <t>Discounts driving bigger AOV</t>
  </si>
  <si>
    <t>Post discounts erroding margin</t>
  </si>
  <si>
    <t>PERIODS</t>
  </si>
  <si>
    <t>Pre-Black Friday (26 Days)</t>
  </si>
  <si>
    <t>. Steady, predictable shopping.</t>
  </si>
  <si>
    <t>. Averaged $4,442 in revenue per day with a healthy AOV of $69.99.</t>
  </si>
  <si>
    <t>Black Friday &amp; Cyber Monday (4 Days)</t>
  </si>
  <si>
    <t>. High-intent behaviour, 33.8% add to cart vs average for period, 18.9%.</t>
  </si>
  <si>
    <t>. Revenue exploded to $7,201 per day (the highest of the  sample). Users spent more per order ($82.477 AOV) than at any other time.</t>
  </si>
  <si>
    <t>Christmas Period (20 Days)</t>
  </si>
  <si>
    <t>. High volume, business made the most total money ($138k), but efficiency started to dip.</t>
  </si>
  <si>
    <t>. High traffic (3,496 users/day) kept revenue high at $6,906 per day, but AOV began to slide back down to $69.59.</t>
  </si>
  <si>
    <t>Post-Christmas (34 Days)</t>
  </si>
  <si>
    <t>. Browsers, not buyers. Traffic stayed high, but people less people converting.</t>
  </si>
  <si>
    <t>. Revenue dropped to just $2,113 per day. AOV hit its lowest point at $64.02. People were likely browsing but lack urgency of the holiday season.</t>
  </si>
  <si>
    <t>CHANNELS</t>
  </si>
  <si>
    <t xml:space="preserve">Organic - high volume, low intent - best overall channel </t>
  </si>
  <si>
    <t>. Consistently drives 38-39% of traffic across all periods</t>
  </si>
  <si>
    <t>. High conversion efficiency: View-to-purchase ratios are strong (26-27% of purchases)</t>
  </si>
  <si>
    <t>. Highest AOV</t>
  </si>
  <si>
    <t>. Most stable channel with minimal seasonal variation</t>
  </si>
  <si>
    <t>CPC (High intent, high value, low volume)</t>
  </si>
  <si>
    <t>. 5.5% of traffic</t>
  </si>
  <si>
    <t>. Lowest AOV across board - not targetting well?</t>
  </si>
  <si>
    <t>. High add to cart rates pre-BF people getting ready for sales, good warm up ads for BFCM</t>
  </si>
  <si>
    <t>Direct</t>
  </si>
  <si>
    <t>. Stable</t>
  </si>
  <si>
    <t>Referral</t>
  </si>
  <si>
    <t>. Smaller channel but high-quality</t>
  </si>
  <si>
    <t>. Highest AOV during christmas, people getting ideas from social media, reviews, blogs, YT</t>
  </si>
  <si>
    <t>. Second-highest AOV during the Post-Christmas slump, suggesting that external links/influencers might be driving more resilient, less price-sensitive traffic.</t>
  </si>
  <si>
    <t>Discounting:</t>
  </si>
  <si>
    <t>. Discounts are beneficial during BFCM/Christmas but dilute margin post-christmas</t>
  </si>
  <si>
    <t>, During the Christmas Period, discounted orders drive a +17.3% uplift in AOV compared to full-price orders. This suggests customers are using discounts to  upgrade</t>
  </si>
  <si>
    <t>. Post-Christmas, the uplift is -9.8%. People are only buying clearnce at the lowest possible price point, margin erosion.</t>
  </si>
  <si>
    <t>. Referral traffic during BFCM had a massive +25.9% AOV uplift, suggesting that external influencers or deal sites were driving high spend behaviour.</t>
  </si>
  <si>
    <t>. Dataset constraints (3 months + heavy seasonality + skew to new users)</t>
  </si>
  <si>
    <t>. Don't have any cost data so can't determine 'profitability'</t>
  </si>
  <si>
    <t>. A lot of data has been removed e.g. promotion name,coupon name, campaign name</t>
  </si>
  <si>
    <t>Items</t>
  </si>
  <si>
    <t>Accessories</t>
  </si>
  <si>
    <t>Apparel</t>
  </si>
  <si>
    <t>Bags</t>
  </si>
  <si>
    <t>Black Lives Matter</t>
  </si>
  <si>
    <t>Campus Collection</t>
  </si>
  <si>
    <t>Clearance</t>
  </si>
  <si>
    <t>Drinkware</t>
  </si>
  <si>
    <t>Electronics Accessories</t>
  </si>
  <si>
    <t>Fun</t>
  </si>
  <si>
    <t>Gift Cards</t>
  </si>
  <si>
    <t>Google</t>
  </si>
  <si>
    <t>Lifestyle</t>
  </si>
  <si>
    <t>New</t>
  </si>
  <si>
    <t>Notebooks &amp; Journals</t>
  </si>
  <si>
    <t>Office</t>
  </si>
  <si>
    <t>Shop by Brand</t>
  </si>
  <si>
    <t>Small Goods</t>
  </si>
  <si>
    <t>Stationery</t>
  </si>
  <si>
    <t>Uncategorised</t>
  </si>
  <si>
    <t>Writing Instruments</t>
  </si>
  <si>
    <t>Items (&gt;=20% shift)</t>
  </si>
  <si>
    <t xml:space="preserve"> BFCM vs Pre-BF</t>
  </si>
  <si>
    <t>CP vs Pre-BF</t>
  </si>
  <si>
    <t>Revenue</t>
  </si>
  <si>
    <t>Revenue per day</t>
  </si>
  <si>
    <t>Revenue per day (&gt;=10% shift)</t>
  </si>
  <si>
    <t>Categories that were driving sales during BFCM - bags, clearence, new, brands, small goods</t>
  </si>
  <si>
    <t>Traffic</t>
  </si>
  <si>
    <t>United States</t>
  </si>
  <si>
    <t>India</t>
  </si>
  <si>
    <t>Canada</t>
  </si>
  <si>
    <t>United Kingdom</t>
  </si>
  <si>
    <t>Spain</t>
  </si>
  <si>
    <t>France</t>
  </si>
  <si>
    <t>Other (&lt;2%)</t>
  </si>
  <si>
    <t>Traffic Mix</t>
  </si>
  <si>
    <t>landing_page</t>
  </si>
  <si>
    <t>session_count</t>
  </si>
  <si>
    <t>pct_of_period_traffic</t>
  </si>
  <si>
    <t>https://shop.googlemerchandisestore.com/</t>
  </si>
  <si>
    <t>https://googlemerchandisestore.com/</t>
  </si>
  <si>
    <t>https://www.googlemerchandisestore.com/</t>
  </si>
  <si>
    <t>https://shop.googlemerchandisestore.com/Google+Redesign/Shop+by+Brand/YouTube</t>
  </si>
  <si>
    <t>https://shop.googlemerchandisestore.com/Google+Redesign/Apparel</t>
  </si>
  <si>
    <t>https://shop.googlemerchandisestore.com/Google+Redesign/Apparel/Mens/Mens+T+Shirts</t>
  </si>
  <si>
    <t>https://shop.googlemerchandisestore.com/store.html</t>
  </si>
  <si>
    <t>https://shop.googlemerchandisestore.com/Google+Redesign/Lifestyle/Drinkware</t>
  </si>
  <si>
    <t>https://shop.googlemerchandisestore.com/Google+Redesign/Apparel/Mens</t>
  </si>
  <si>
    <t>https://shop.googlemerchandisestore.com/signin.html</t>
  </si>
  <si>
    <t>https://shop.googlemerchandisestore.com/Google+Redesign/Shop+by+Brand/Google</t>
  </si>
  <si>
    <t>https://shop.googlemerchandisestore.com/Google+Redesign/Apparel/Google+Dino+Game+Tee</t>
  </si>
  <si>
    <t>https://shop.googlemerchandisestore.com/Google+Redesign/Lifestyle/Bags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</si>
</sst>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[$$]#,##0.00"/>
    <numFmt numFmtId="167" formatCode="[$£-809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u/>
      <color rgb="FF0000FF"/>
    </font>
    <font>
      <b/>
      <sz val="10.0"/>
      <color rgb="FF000000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3" fontId="2" numFmtId="0" xfId="0" applyAlignment="1" applyFill="1" applyFont="1">
      <alignment horizontal="center" readingOrder="0"/>
    </xf>
    <xf borderId="0" fillId="3" fontId="2" numFmtId="164" xfId="0" applyAlignment="1" applyFont="1" applyNumberFormat="1">
      <alignment horizontal="center"/>
    </xf>
    <xf borderId="0" fillId="3" fontId="2" numFmtId="2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/>
    </xf>
    <xf borderId="0" fillId="2" fontId="2" numFmtId="2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0" fillId="2" fontId="2" numFmtId="1" xfId="0" applyAlignment="1" applyFont="1" applyNumberFormat="1">
      <alignment horizontal="center" readingOrder="0"/>
    </xf>
    <xf borderId="0" fillId="3" fontId="2" numFmtId="1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Font="1"/>
    <xf borderId="0" fillId="0" fontId="4" numFmtId="0" xfId="0" applyFont="1"/>
    <xf borderId="0" fillId="0" fontId="2" numFmtId="166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2" fontId="2" numFmtId="166" xfId="0" applyAlignment="1" applyFont="1" applyNumberFormat="1">
      <alignment horizontal="center" readingOrder="0"/>
    </xf>
    <xf borderId="0" fillId="2" fontId="2" numFmtId="1" xfId="0" applyAlignment="1" applyFont="1" applyNumberFormat="1">
      <alignment horizontal="center"/>
    </xf>
    <xf borderId="0" fillId="2" fontId="2" numFmtId="166" xfId="0" applyAlignment="1" applyFont="1" applyNumberFormat="1">
      <alignment horizontal="center"/>
    </xf>
    <xf borderId="0" fillId="3" fontId="2" numFmtId="166" xfId="0" applyAlignment="1" applyFont="1" applyNumberFormat="1">
      <alignment horizontal="center" readingOrder="0"/>
    </xf>
    <xf borderId="0" fillId="3" fontId="2" numFmtId="1" xfId="0" applyAlignment="1" applyFont="1" applyNumberFormat="1">
      <alignment horizontal="center"/>
    </xf>
    <xf borderId="0" fillId="3" fontId="2" numFmtId="166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/>
    </xf>
    <xf borderId="0" fillId="0" fontId="2" numFmtId="0" xfId="0" applyFont="1"/>
    <xf borderId="0" fillId="4" fontId="2" numFmtId="0" xfId="0" applyFill="1" applyFont="1"/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2" numFmtId="164" xfId="0" applyAlignment="1" applyFont="1" applyNumberFormat="1">
      <alignment horizontal="center"/>
    </xf>
    <xf borderId="0" fillId="5" fontId="2" numFmtId="166" xfId="0" applyAlignment="1" applyFill="1" applyFont="1" applyNumberFormat="1">
      <alignment horizontal="center"/>
    </xf>
    <xf borderId="0" fillId="2" fontId="2" numFmtId="0" xfId="0" applyFont="1"/>
    <xf borderId="0" fillId="0" fontId="2" numFmtId="166" xfId="0" applyAlignment="1" applyFont="1" applyNumberFormat="1">
      <alignment horizontal="center"/>
    </xf>
    <xf borderId="0" fillId="3" fontId="2" numFmtId="166" xfId="0" applyAlignment="1" applyFont="1" applyNumberFormat="1">
      <alignment horizontal="center"/>
    </xf>
    <xf borderId="0" fillId="2" fontId="2" numFmtId="166" xfId="0" applyAlignment="1" applyFont="1" applyNumberFormat="1">
      <alignment horizontal="center"/>
    </xf>
    <xf borderId="0" fillId="4" fontId="2" numFmtId="2" xfId="0" applyAlignment="1" applyFont="1" applyNumberFormat="1">
      <alignment horizontal="center" readingOrder="0"/>
    </xf>
    <xf borderId="0" fillId="4" fontId="2" numFmtId="2" xfId="0" applyAlignment="1" applyFont="1" applyNumberFormat="1">
      <alignment horizontal="center"/>
    </xf>
    <xf borderId="0" fillId="3" fontId="2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2" fontId="2" numFmtId="2" xfId="0" applyAlignment="1" applyFont="1" applyNumberForma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2" fontId="2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166" xfId="0" applyFont="1" applyNumberFormat="1"/>
    <xf borderId="0" fillId="4" fontId="2" numFmtId="164" xfId="0" applyAlignment="1" applyFont="1" applyNumberFormat="1">
      <alignment horizontal="center" readingOrder="0"/>
    </xf>
    <xf borderId="0" fillId="4" fontId="2" numFmtId="166" xfId="0" applyAlignment="1" applyFont="1" applyNumberFormat="1">
      <alignment horizontal="center" readingOrder="0"/>
    </xf>
    <xf borderId="0" fillId="6" fontId="2" numFmtId="164" xfId="0" applyAlignment="1" applyFill="1" applyFont="1" applyNumberFormat="1">
      <alignment horizontal="center" readingOrder="0"/>
    </xf>
    <xf borderId="0" fillId="6" fontId="2" numFmtId="166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7" fontId="1" numFmtId="0" xfId="0" applyAlignment="1" applyFill="1" applyFont="1">
      <alignment horizontal="center"/>
    </xf>
    <xf borderId="0" fillId="8" fontId="1" numFmtId="0" xfId="0" applyAlignment="1" applyFill="1" applyFont="1">
      <alignment horizontal="center"/>
    </xf>
    <xf borderId="0" fillId="7" fontId="2" numFmtId="0" xfId="0" applyAlignment="1" applyFont="1">
      <alignment horizontal="center"/>
    </xf>
    <xf borderId="0" fillId="8" fontId="2" numFmtId="0" xfId="0" applyAlignment="1" applyFont="1">
      <alignment horizontal="center"/>
    </xf>
    <xf borderId="0" fillId="7" fontId="2" numFmtId="164" xfId="0" applyAlignment="1" applyFont="1" applyNumberFormat="1">
      <alignment horizontal="center"/>
    </xf>
    <xf borderId="0" fillId="8" fontId="2" numFmtId="164" xfId="0" applyAlignment="1" applyFont="1" applyNumberFormat="1">
      <alignment horizontal="center"/>
    </xf>
    <xf borderId="0" fillId="7" fontId="1" numFmtId="0" xfId="0" applyFont="1"/>
    <xf borderId="0" fillId="8" fontId="1" numFmtId="0" xfId="0" applyFont="1"/>
    <xf borderId="0" fillId="3" fontId="2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2" fontId="2" numFmtId="2" xfId="0" applyAlignment="1" applyFont="1" applyNumberFormat="1">
      <alignment horizontal="center"/>
    </xf>
    <xf borderId="0" fillId="7" fontId="2" numFmtId="2" xfId="0" applyAlignment="1" applyFont="1" applyNumberFormat="1">
      <alignment horizontal="center"/>
    </xf>
    <xf borderId="0" fillId="8" fontId="2" numFmtId="2" xfId="0" applyAlignment="1" applyFont="1" applyNumberFormat="1">
      <alignment horizontal="center"/>
    </xf>
    <xf borderId="0" fillId="7" fontId="2" numFmtId="0" xfId="0" applyFont="1"/>
    <xf borderId="0" fillId="8" fontId="2" numFmtId="0" xfId="0" applyFont="1"/>
    <xf borderId="0" fillId="6" fontId="1" numFmtId="0" xfId="0" applyAlignment="1" applyFont="1">
      <alignment horizontal="center"/>
    </xf>
    <xf borderId="0" fillId="8" fontId="2" numFmtId="166" xfId="0" applyAlignment="1" applyFont="1" applyNumberFormat="1">
      <alignment horizontal="center"/>
    </xf>
    <xf borderId="0" fillId="7" fontId="2" numFmtId="166" xfId="0" applyAlignment="1" applyFont="1" applyNumberFormat="1">
      <alignment horizontal="center"/>
    </xf>
    <xf borderId="0" fillId="0" fontId="2" numFmtId="166" xfId="0" applyFont="1" applyNumberForma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hop.googlemerchandisestore.com" TargetMode="External"/><Relationship Id="rId2" Type="http://schemas.openxmlformats.org/officeDocument/2006/relationships/hyperlink" Target="http://shop.googlemerchandisestore.com" TargetMode="External"/><Relationship Id="rId3" Type="http://schemas.openxmlformats.org/officeDocument/2006/relationships/hyperlink" Target="http://shop.googlemerchandisestore.com" TargetMode="External"/><Relationship Id="rId4" Type="http://schemas.openxmlformats.org/officeDocument/2006/relationships/hyperlink" Target="http://shop.googlemerchandisestore.com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.googlemerchandisestore.com/Google+Redesign/Lifestyle/Bags" TargetMode="External"/><Relationship Id="rId20" Type="http://schemas.openxmlformats.org/officeDocument/2006/relationships/hyperlink" Target="https://shop.googlemerchandisestore.com/Google+Redesign/Shop+by+Brand/Google" TargetMode="External"/><Relationship Id="rId41" Type="http://schemas.openxmlformats.org/officeDocument/2006/relationships/drawing" Target="../drawings/drawing10.xml"/><Relationship Id="rId22" Type="http://schemas.openxmlformats.org/officeDocument/2006/relationships/hyperlink" Target="https://shop.googlemerchandisestore.com/Google+Redesign/Apparel" TargetMode="External"/><Relationship Id="rId21" Type="http://schemas.openxmlformats.org/officeDocument/2006/relationships/hyperlink" Target="https://shop.googlemerchandisestore.com/" TargetMode="External"/><Relationship Id="rId24" Type="http://schemas.openxmlformats.org/officeDocument/2006/relationships/hyperlink" Target="https://shop.googlemerchandisestore.com/Google+Redesign/Apparel/Google+Dino+Game+Tee" TargetMode="External"/><Relationship Id="rId23" Type="http://schemas.openxmlformats.org/officeDocument/2006/relationships/hyperlink" Target="https://googlemerchandisestore.com/" TargetMode="External"/><Relationship Id="rId1" Type="http://schemas.openxmlformats.org/officeDocument/2006/relationships/hyperlink" Target="https://shop.googlemerchandisestore.com/" TargetMode="External"/><Relationship Id="rId2" Type="http://schemas.openxmlformats.org/officeDocument/2006/relationships/hyperlink" Target="https://googlemerchandisestore.com/" TargetMode="External"/><Relationship Id="rId3" Type="http://schemas.openxmlformats.org/officeDocument/2006/relationships/hyperlink" Target="https://www.googlemerchandisestore.com/" TargetMode="External"/><Relationship Id="rId4" Type="http://schemas.openxmlformats.org/officeDocument/2006/relationships/hyperlink" Target="https://shop.googlemerchandisestore.com/Google+Redesign/Shop+by+Brand/YouTube" TargetMode="External"/><Relationship Id="rId9" Type="http://schemas.openxmlformats.org/officeDocument/2006/relationships/hyperlink" Target="https://shop.googlemerchandisestore.com/Google+Redesign/Apparel/Mens" TargetMode="External"/><Relationship Id="rId26" Type="http://schemas.openxmlformats.org/officeDocument/2006/relationships/hyperlink" Target="https://www.googlemerchandisestore.com/" TargetMode="External"/><Relationship Id="rId25" Type="http://schemas.openxmlformats.org/officeDocument/2006/relationships/hyperlink" Target="https://shop.googlemerchandisestore.com/Google+Redesign/Shop+by+Brand/YouTube" TargetMode="External"/><Relationship Id="rId28" Type="http://schemas.openxmlformats.org/officeDocument/2006/relationships/hyperlink" Target="https://shop.googlemerchandisestore.com/Google+Redesign/Apparel/Mens/Mens+T+Shirts" TargetMode="External"/><Relationship Id="rId27" Type="http://schemas.openxmlformats.org/officeDocument/2006/relationships/hyperlink" Target="https://shop.googlemerchandisestore.com/store.html" TargetMode="External"/><Relationship Id="rId5" Type="http://schemas.openxmlformats.org/officeDocument/2006/relationships/hyperlink" Target="https://shop.googlemerchandisestore.com/Google+Redesign/Apparel" TargetMode="External"/><Relationship Id="rId6" Type="http://schemas.openxmlformats.org/officeDocument/2006/relationships/hyperlink" Target="https://shop.googlemerchandisestore.com/Google+Redesign/Apparel/Mens/Mens+T+Shirts" TargetMode="External"/><Relationship Id="rId29" Type="http://schemas.openxmlformats.org/officeDocument/2006/relationships/hyperlink" Target="https://shop.googlemerchandisestore.com/Google+Redesign/Apparel/Mens" TargetMode="External"/><Relationship Id="rId7" Type="http://schemas.openxmlformats.org/officeDocument/2006/relationships/hyperlink" Target="https://shop.googlemerchandisestore.com/store.html" TargetMode="External"/><Relationship Id="rId8" Type="http://schemas.openxmlformats.org/officeDocument/2006/relationships/hyperlink" Target="https://shop.googlemerchandisestore.com/Google+Redesign/Lifestyle/Drinkware" TargetMode="External"/><Relationship Id="rId31" Type="http://schemas.openxmlformats.org/officeDocument/2006/relationships/hyperlink" Target="https://shop.googlemerchandisestore.com/" TargetMode="External"/><Relationship Id="rId30" Type="http://schemas.openxmlformats.org/officeDocument/2006/relationships/hyperlink" Target="https://shop.googlemerchandisestore.com/Google+Redesign/Shop+by+Brand/Google" TargetMode="External"/><Relationship Id="rId11" Type="http://schemas.openxmlformats.org/officeDocument/2006/relationships/hyperlink" Target="https://shop.googlemerchandisestore.com/" TargetMode="External"/><Relationship Id="rId33" Type="http://schemas.openxmlformats.org/officeDocument/2006/relationships/hyperlink" Target="https://googlemerchandisestore.com/" TargetMode="External"/><Relationship Id="rId10" Type="http://schemas.openxmlformats.org/officeDocument/2006/relationships/hyperlink" Target="https://shop.googlemerchandisestore.com/signin.html" TargetMode="External"/><Relationship Id="rId32" Type="http://schemas.openxmlformats.org/officeDocument/2006/relationships/hyperlink" Target="https://shop.googlemerchandisestore.com/Google+Redesign/Apparel" TargetMode="External"/><Relationship Id="rId13" Type="http://schemas.openxmlformats.org/officeDocument/2006/relationships/hyperlink" Target="https://shop.googlemerchandisestore.com/Google+Redesign/Apparel" TargetMode="External"/><Relationship Id="rId35" Type="http://schemas.openxmlformats.org/officeDocument/2006/relationships/hyperlink" Target="https://shop.googlemerchandisestore.com/Google+Redesign/Shop+by+Brand/YouTube" TargetMode="External"/><Relationship Id="rId12" Type="http://schemas.openxmlformats.org/officeDocument/2006/relationships/hyperlink" Target="https://googlemerchandisestore.com/" TargetMode="External"/><Relationship Id="rId34" Type="http://schemas.openxmlformats.org/officeDocument/2006/relationships/hyperlink" Target="https://shop.googlemerchandisestore.com/Google+Redesign/Apparel/Google+Dino+Game+Tee" TargetMode="External"/><Relationship Id="rId15" Type="http://schemas.openxmlformats.org/officeDocument/2006/relationships/hyperlink" Target="https://shop.googlemerchandisestore.com/store.html" TargetMode="External"/><Relationship Id="rId37" Type="http://schemas.openxmlformats.org/officeDocument/2006/relationships/hyperlink" Target="https://www.googlemerchandisestore.com/" TargetMode="External"/><Relationship Id="rId14" Type="http://schemas.openxmlformats.org/officeDocument/2006/relationships/hyperlink" Target="https://shop.googlemerchandisestore.com/Google+Redesign/Shop+by+Brand/YouTube" TargetMode="External"/><Relationship Id="rId36" Type="http://schemas.openxmlformats.org/officeDocument/2006/relationships/hyperlink" Target="https://shop.googlemerchandisestore.com/store.html" TargetMode="External"/><Relationship Id="rId17" Type="http://schemas.openxmlformats.org/officeDocument/2006/relationships/hyperlink" Target="https://shop.googlemerchandisestore.com/Google+Redesign/Apparel/Mens/Mens+T+Shirts" TargetMode="External"/><Relationship Id="rId39" Type="http://schemas.openxmlformats.org/officeDocument/2006/relationships/hyperlink" Target="https://shop.googlemerchandisestore.com/Google+Redesign/Lifestyle/Drinkware" TargetMode="External"/><Relationship Id="rId16" Type="http://schemas.openxmlformats.org/officeDocument/2006/relationships/hyperlink" Target="https://www.googlemerchandisestore.com/" TargetMode="External"/><Relationship Id="rId38" Type="http://schemas.openxmlformats.org/officeDocument/2006/relationships/hyperlink" Target="https://shop.googlemerchandisestore.com/Google+Redesign/Apparel/Mens/Mens+T+Shirts" TargetMode="External"/><Relationship Id="rId19" Type="http://schemas.openxmlformats.org/officeDocument/2006/relationships/hyperlink" Target="https://shop.googlemerchandisestore.com/Google+Redesign/Apparel/Mens" TargetMode="External"/><Relationship Id="rId18" Type="http://schemas.openxmlformats.org/officeDocument/2006/relationships/hyperlink" Target="https://shop.googlemerchandisestore.com/Google+Redesign/Lifestyle/Drinkw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4" width="30.5"/>
    <col customWidth="1" min="5" max="5" width="39.0"/>
    <col customWidth="1" min="6" max="10" width="30.5"/>
  </cols>
  <sheetData>
    <row r="1">
      <c r="A1" s="1" t="s">
        <v>0</v>
      </c>
      <c r="E1" s="2"/>
      <c r="F1" s="2"/>
      <c r="G1" s="2"/>
      <c r="H1" s="2"/>
      <c r="I1" s="2"/>
      <c r="J1" s="2"/>
    </row>
    <row r="2">
      <c r="A2" s="3"/>
      <c r="B2" s="1" t="s">
        <v>1</v>
      </c>
      <c r="C2" s="1" t="s">
        <v>2</v>
      </c>
      <c r="D2" s="1" t="s">
        <v>3</v>
      </c>
      <c r="E2" s="2"/>
      <c r="F2" s="2"/>
      <c r="G2" s="2"/>
      <c r="H2" s="2"/>
      <c r="I2" s="2"/>
      <c r="J2" s="2"/>
    </row>
    <row r="3">
      <c r="A3" s="4" t="s">
        <v>4</v>
      </c>
      <c r="B3" s="4">
        <v>174963.0</v>
      </c>
      <c r="C3" s="5">
        <v>0.9524</v>
      </c>
      <c r="D3" s="6" t="s">
        <v>5</v>
      </c>
      <c r="E3" s="2"/>
      <c r="F3" s="2"/>
      <c r="G3" s="2"/>
      <c r="H3" s="2"/>
      <c r="I3" s="2"/>
      <c r="J3" s="2"/>
    </row>
    <row r="4">
      <c r="A4" s="7" t="s">
        <v>6</v>
      </c>
      <c r="B4" s="7">
        <v>8736.0</v>
      </c>
      <c r="C4" s="8">
        <v>0.0476</v>
      </c>
      <c r="D4" s="2"/>
      <c r="E4" s="2"/>
      <c r="F4" s="2"/>
      <c r="G4" s="2"/>
      <c r="H4" s="2"/>
      <c r="I4" s="2"/>
      <c r="J4" s="2"/>
    </row>
    <row r="5">
      <c r="A5" s="1" t="s">
        <v>7</v>
      </c>
      <c r="B5" s="3">
        <f t="shared" ref="B5:C5" si="1">sum(B3:B4)</f>
        <v>183699</v>
      </c>
      <c r="C5" s="9">
        <f t="shared" si="1"/>
        <v>1</v>
      </c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1" t="s">
        <v>8</v>
      </c>
      <c r="E7" s="2"/>
      <c r="F7" s="2"/>
      <c r="G7" s="2"/>
      <c r="H7" s="2"/>
      <c r="I7" s="2"/>
      <c r="J7" s="2"/>
    </row>
    <row r="8">
      <c r="A8" s="1" t="s">
        <v>9</v>
      </c>
      <c r="B8" s="1" t="s">
        <v>10</v>
      </c>
      <c r="C8" s="1" t="s">
        <v>11</v>
      </c>
      <c r="D8" s="1" t="s">
        <v>12</v>
      </c>
      <c r="E8" s="1" t="s">
        <v>3</v>
      </c>
      <c r="F8" s="2"/>
      <c r="G8" s="2"/>
      <c r="H8" s="2"/>
      <c r="I8" s="2"/>
      <c r="J8" s="2"/>
      <c r="K8" s="2"/>
    </row>
    <row r="9">
      <c r="A9" s="7" t="s">
        <v>13</v>
      </c>
      <c r="B9" s="7">
        <v>174963.0</v>
      </c>
      <c r="C9" s="7" t="s">
        <v>14</v>
      </c>
      <c r="D9" s="7" t="s">
        <v>14</v>
      </c>
      <c r="E9" s="3"/>
      <c r="F9" s="2"/>
      <c r="G9" s="2"/>
      <c r="H9" s="2"/>
      <c r="I9" s="2"/>
      <c r="J9" s="2"/>
      <c r="K9" s="2"/>
    </row>
    <row r="10">
      <c r="A10" s="10" t="s">
        <v>15</v>
      </c>
      <c r="B10" s="10">
        <v>39346.0</v>
      </c>
      <c r="C10" s="11">
        <f t="shared" ref="C10:C13" si="2">B10/B9</f>
        <v>0.2248818322</v>
      </c>
      <c r="D10" s="12">
        <f>C10/D14</f>
        <v>0.9625814765</v>
      </c>
      <c r="E10" s="13" t="s">
        <v>16</v>
      </c>
      <c r="F10" s="2"/>
      <c r="G10" s="2"/>
      <c r="H10" s="2"/>
      <c r="I10" s="2"/>
      <c r="J10" s="2"/>
      <c r="K10" s="2"/>
    </row>
    <row r="11">
      <c r="A11" s="10" t="s">
        <v>17</v>
      </c>
      <c r="B11" s="10">
        <v>7437.0</v>
      </c>
      <c r="C11" s="11">
        <f t="shared" si="2"/>
        <v>0.1890154018</v>
      </c>
      <c r="D11" s="12">
        <f>C11/D14</f>
        <v>0.8090592416</v>
      </c>
      <c r="E11" s="13" t="s">
        <v>16</v>
      </c>
      <c r="F11" s="2"/>
      <c r="G11" s="2"/>
      <c r="H11" s="2"/>
      <c r="I11" s="2"/>
      <c r="J11" s="2"/>
      <c r="K11" s="2"/>
    </row>
    <row r="12">
      <c r="A12" s="7" t="s">
        <v>18</v>
      </c>
      <c r="B12" s="7">
        <v>1745.0</v>
      </c>
      <c r="C12" s="14">
        <f t="shared" si="2"/>
        <v>0.2346376227</v>
      </c>
      <c r="D12" s="15">
        <f>C12/D14</f>
        <v>1.004340044</v>
      </c>
      <c r="E12" s="3"/>
      <c r="F12" s="2"/>
      <c r="G12" s="2"/>
      <c r="H12" s="2"/>
      <c r="I12" s="2"/>
      <c r="J12" s="2"/>
      <c r="K12" s="2"/>
    </row>
    <row r="13">
      <c r="A13" s="4" t="s">
        <v>19</v>
      </c>
      <c r="B13" s="4">
        <v>499.0</v>
      </c>
      <c r="C13" s="16">
        <f t="shared" si="2"/>
        <v>0.2859598854</v>
      </c>
      <c r="D13" s="17">
        <f>C13/D14</f>
        <v>1.224019237</v>
      </c>
      <c r="E13" s="6" t="s">
        <v>20</v>
      </c>
      <c r="F13" s="2"/>
      <c r="G13" s="2"/>
      <c r="H13" s="2"/>
      <c r="I13" s="2"/>
      <c r="J13" s="2"/>
      <c r="K13" s="2"/>
    </row>
    <row r="14">
      <c r="A14" s="1" t="s">
        <v>21</v>
      </c>
      <c r="B14" s="3"/>
      <c r="C14" s="3"/>
      <c r="D14" s="9">
        <f>sum(C10:C13)/4</f>
        <v>0.2336236855</v>
      </c>
      <c r="E14" s="3"/>
      <c r="F14" s="3"/>
      <c r="G14" s="3"/>
      <c r="H14" s="3"/>
      <c r="I14" s="3"/>
      <c r="J14" s="3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1" t="s">
        <v>22</v>
      </c>
      <c r="E16" s="2"/>
      <c r="F16" s="2"/>
      <c r="G16" s="2"/>
      <c r="H16" s="2"/>
      <c r="I16" s="2"/>
      <c r="J16" s="2"/>
    </row>
    <row r="17">
      <c r="A17" s="1" t="s">
        <v>9</v>
      </c>
      <c r="B17" s="1" t="s">
        <v>10</v>
      </c>
      <c r="C17" s="1" t="s">
        <v>11</v>
      </c>
      <c r="D17" s="1" t="s">
        <v>12</v>
      </c>
      <c r="E17" s="1" t="s">
        <v>3</v>
      </c>
      <c r="F17" s="2"/>
      <c r="G17" s="2"/>
      <c r="H17" s="2"/>
      <c r="I17" s="2"/>
      <c r="J17" s="2"/>
      <c r="K17" s="2"/>
    </row>
    <row r="18">
      <c r="A18" s="7" t="s">
        <v>13</v>
      </c>
      <c r="B18" s="7">
        <v>51395.0</v>
      </c>
      <c r="C18" s="7" t="s">
        <v>14</v>
      </c>
      <c r="D18" s="7" t="s">
        <v>14</v>
      </c>
      <c r="E18" s="2"/>
      <c r="F18" s="2"/>
      <c r="G18" s="2"/>
      <c r="H18" s="2"/>
      <c r="I18" s="2"/>
      <c r="J18" s="2"/>
      <c r="K18" s="2"/>
    </row>
    <row r="19">
      <c r="A19" s="4" t="s">
        <v>15</v>
      </c>
      <c r="B19" s="4">
        <v>22458.0</v>
      </c>
      <c r="C19" s="5">
        <v>0.437</v>
      </c>
      <c r="D19" s="17">
        <f>C19/D23</f>
        <v>1.273310023</v>
      </c>
      <c r="E19" s="6" t="s">
        <v>23</v>
      </c>
      <c r="F19" s="2"/>
      <c r="G19" s="2"/>
      <c r="H19" s="2"/>
      <c r="I19" s="2"/>
      <c r="J19" s="2"/>
      <c r="K19" s="2"/>
    </row>
    <row r="20">
      <c r="A20" s="7" t="s">
        <v>17</v>
      </c>
      <c r="B20" s="7">
        <v>6754.0</v>
      </c>
      <c r="C20" s="8">
        <v>0.3007</v>
      </c>
      <c r="D20" s="15">
        <f>C20/D23</f>
        <v>0.8761655012</v>
      </c>
      <c r="E20" s="1"/>
      <c r="F20" s="2"/>
      <c r="G20" s="2"/>
      <c r="H20" s="2"/>
      <c r="I20" s="2"/>
      <c r="J20" s="2"/>
      <c r="K20" s="2"/>
    </row>
    <row r="21">
      <c r="A21" s="7" t="s">
        <v>18</v>
      </c>
      <c r="B21" s="7">
        <v>2133.0</v>
      </c>
      <c r="C21" s="8">
        <v>0.3158</v>
      </c>
      <c r="D21" s="15">
        <f>C21/D23</f>
        <v>0.9201631702</v>
      </c>
      <c r="E21" s="1"/>
      <c r="F21" s="2"/>
      <c r="G21" s="2"/>
      <c r="H21" s="2"/>
      <c r="I21" s="2"/>
      <c r="J21" s="2"/>
      <c r="K21" s="2"/>
    </row>
    <row r="22">
      <c r="A22" s="7" t="s">
        <v>19</v>
      </c>
      <c r="B22" s="7">
        <v>681.0</v>
      </c>
      <c r="C22" s="8">
        <v>0.3193</v>
      </c>
      <c r="D22" s="15">
        <f>C22/D23</f>
        <v>0.9303613054</v>
      </c>
      <c r="E22" s="1" t="s">
        <v>24</v>
      </c>
      <c r="F22" s="2"/>
      <c r="G22" s="2"/>
      <c r="H22" s="2"/>
      <c r="I22" s="2"/>
      <c r="J22" s="2"/>
      <c r="K22" s="2"/>
    </row>
    <row r="23">
      <c r="A23" s="1" t="s">
        <v>21</v>
      </c>
      <c r="B23" s="2"/>
      <c r="C23" s="2"/>
      <c r="D23" s="9">
        <f>sum(C19:C22)/4</f>
        <v>0.3432</v>
      </c>
      <c r="F23" s="2"/>
      <c r="G23" s="2"/>
      <c r="H23" s="2"/>
      <c r="I23" s="2"/>
      <c r="J23" s="2"/>
    </row>
    <row r="24">
      <c r="F24" s="2"/>
      <c r="G24" s="2"/>
      <c r="H24" s="2"/>
      <c r="I24" s="2"/>
      <c r="J24" s="2"/>
    </row>
    <row r="25">
      <c r="A25" s="19" t="s">
        <v>25</v>
      </c>
      <c r="E25" s="2"/>
      <c r="F25" s="2"/>
      <c r="G25" s="2"/>
      <c r="H25" s="2"/>
      <c r="I25" s="2"/>
      <c r="J25" s="2"/>
    </row>
    <row r="26">
      <c r="A26" s="20" t="s">
        <v>26</v>
      </c>
      <c r="E26" s="2"/>
      <c r="F26" s="2"/>
      <c r="G26" s="2"/>
      <c r="H26" s="2"/>
      <c r="I26" s="2"/>
      <c r="J26" s="2"/>
    </row>
    <row r="27">
      <c r="A27" s="21" t="s">
        <v>27</v>
      </c>
      <c r="E27" s="2"/>
      <c r="F27" s="2"/>
      <c r="G27" s="2"/>
      <c r="H27" s="2"/>
      <c r="I27" s="2"/>
      <c r="J27" s="2"/>
    </row>
    <row r="28">
      <c r="A28" s="22" t="s">
        <v>28</v>
      </c>
      <c r="E28" s="2"/>
      <c r="F28" s="2"/>
      <c r="G28" s="2"/>
      <c r="H28" s="2"/>
      <c r="I28" s="2"/>
      <c r="J28" s="2"/>
    </row>
    <row r="29">
      <c r="E29" s="2"/>
      <c r="F29" s="2"/>
      <c r="G29" s="2"/>
      <c r="H29" s="2"/>
      <c r="I29" s="2"/>
      <c r="J29" s="2"/>
    </row>
    <row r="30">
      <c r="E30" s="2"/>
      <c r="F30" s="2"/>
      <c r="G30" s="2"/>
      <c r="H30" s="2"/>
      <c r="I30" s="2"/>
      <c r="J30" s="2"/>
    </row>
    <row r="31">
      <c r="E31" s="2"/>
      <c r="F31" s="2"/>
      <c r="G31" s="2"/>
      <c r="H31" s="2"/>
      <c r="I31" s="2"/>
      <c r="J31" s="2"/>
    </row>
    <row r="32">
      <c r="E32" s="2"/>
      <c r="F32" s="2"/>
      <c r="G32" s="2"/>
      <c r="H32" s="2"/>
      <c r="I32" s="2"/>
      <c r="J32" s="2"/>
    </row>
    <row r="33"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</sheetData>
  <mergeCells count="3">
    <mergeCell ref="A1:D1"/>
    <mergeCell ref="A7:D7"/>
    <mergeCell ref="A16:D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3" width="34.5"/>
  </cols>
  <sheetData>
    <row r="1">
      <c r="A1" s="1"/>
      <c r="B1" s="1" t="s">
        <v>29</v>
      </c>
      <c r="C1" s="23" t="s">
        <v>30</v>
      </c>
      <c r="D1" s="2"/>
    </row>
    <row r="2">
      <c r="A2" s="1" t="s">
        <v>31</v>
      </c>
      <c r="B2" s="7">
        <v>3511.0</v>
      </c>
      <c r="C2" s="24">
        <v>557.0</v>
      </c>
      <c r="D2" s="2"/>
    </row>
    <row r="3">
      <c r="A3" s="1" t="s">
        <v>32</v>
      </c>
      <c r="B3" s="24">
        <v>4.01139276559384</v>
      </c>
      <c r="C3" s="24">
        <v>8.00538599640933</v>
      </c>
      <c r="D3" s="2"/>
    </row>
    <row r="4">
      <c r="A4" s="1" t="s">
        <v>33</v>
      </c>
      <c r="B4" s="7">
        <v>0.0</v>
      </c>
      <c r="C4" s="24">
        <v>1.0</v>
      </c>
      <c r="D4" s="2"/>
    </row>
    <row r="5">
      <c r="A5" s="1" t="s">
        <v>34</v>
      </c>
      <c r="B5" s="7">
        <v>0.0</v>
      </c>
      <c r="C5" s="24">
        <v>0.0</v>
      </c>
      <c r="D5" s="2"/>
    </row>
    <row r="6">
      <c r="A6" s="1" t="s">
        <v>35</v>
      </c>
      <c r="B6" s="7">
        <v>2.0</v>
      </c>
      <c r="C6" s="24">
        <v>10.0</v>
      </c>
      <c r="D6" s="2"/>
    </row>
    <row r="7">
      <c r="A7" s="6" t="s">
        <v>36</v>
      </c>
      <c r="B7" s="4">
        <v>8.0</v>
      </c>
      <c r="C7" s="25">
        <v>18.0</v>
      </c>
      <c r="D7" s="2"/>
    </row>
    <row r="8">
      <c r="A8" s="1" t="s">
        <v>37</v>
      </c>
      <c r="B8" s="7">
        <v>14.0</v>
      </c>
      <c r="C8" s="24">
        <v>25.0</v>
      </c>
      <c r="D8" s="2"/>
    </row>
    <row r="9">
      <c r="A9" s="2"/>
      <c r="B9" s="2"/>
      <c r="C9" s="2"/>
      <c r="D9" s="2"/>
    </row>
    <row r="10">
      <c r="A10" s="20" t="s">
        <v>38</v>
      </c>
      <c r="B10" s="2"/>
      <c r="C10" s="2"/>
      <c r="D1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7" width="28.75"/>
    <col customWidth="1" min="8" max="8" width="25.75"/>
    <col customWidth="1" min="9" max="11" width="26.13"/>
    <col customWidth="1" min="12" max="12" width="14.75"/>
  </cols>
  <sheetData>
    <row r="1">
      <c r="A1" s="1" t="s">
        <v>39</v>
      </c>
      <c r="B1" s="1" t="s">
        <v>40</v>
      </c>
      <c r="C1" s="1" t="s">
        <v>41</v>
      </c>
      <c r="D1" s="1" t="s">
        <v>15</v>
      </c>
      <c r="E1" s="1" t="s">
        <v>17</v>
      </c>
      <c r="F1" s="1" t="s">
        <v>18</v>
      </c>
      <c r="G1" s="1" t="s">
        <v>3</v>
      </c>
      <c r="N1" s="18"/>
      <c r="O1" s="18"/>
      <c r="P1" s="18"/>
    </row>
    <row r="2">
      <c r="A2" s="7" t="s">
        <v>42</v>
      </c>
      <c r="B2" s="7">
        <v>61096.0</v>
      </c>
      <c r="C2" s="26">
        <f t="shared" ref="C2:C5" si="2">C16/C23</f>
        <v>2349.846154</v>
      </c>
      <c r="D2" s="5">
        <f t="shared" ref="D2:F2" si="1">D16/C16</f>
        <v>0.2610972895</v>
      </c>
      <c r="E2" s="27">
        <f t="shared" si="1"/>
        <v>0.07378385155</v>
      </c>
      <c r="F2" s="5">
        <f t="shared" si="1"/>
        <v>0.2659303314</v>
      </c>
      <c r="G2" s="28" t="s">
        <v>43</v>
      </c>
    </row>
    <row r="3">
      <c r="A3" s="7" t="s">
        <v>44</v>
      </c>
      <c r="B3" s="24">
        <v>10638.0</v>
      </c>
      <c r="C3" s="24">
        <f t="shared" si="2"/>
        <v>2659.5</v>
      </c>
      <c r="D3" s="5">
        <f t="shared" ref="D3:F3" si="3">D17/C17</f>
        <v>0.2511750329</v>
      </c>
      <c r="E3" s="5">
        <f t="shared" si="3"/>
        <v>0.3379491018</v>
      </c>
      <c r="F3" s="8">
        <f t="shared" si="3"/>
        <v>0.2436323367</v>
      </c>
      <c r="G3" s="28" t="s">
        <v>45</v>
      </c>
    </row>
    <row r="4">
      <c r="A4" s="7" t="s">
        <v>46</v>
      </c>
      <c r="B4" s="7">
        <v>69916.0</v>
      </c>
      <c r="C4" s="25">
        <f t="shared" si="2"/>
        <v>3495.8</v>
      </c>
      <c r="D4" s="27">
        <f t="shared" ref="D4:F4" si="4">D18/C18</f>
        <v>0.2196206877</v>
      </c>
      <c r="E4" s="5">
        <f t="shared" si="4"/>
        <v>0.2876587431</v>
      </c>
      <c r="F4" s="8">
        <f t="shared" si="4"/>
        <v>0.2331899479</v>
      </c>
      <c r="G4" s="28" t="s">
        <v>47</v>
      </c>
    </row>
    <row r="5">
      <c r="A5" s="7" t="s">
        <v>48</v>
      </c>
      <c r="B5" s="7">
        <v>94724.0</v>
      </c>
      <c r="C5" s="25">
        <f t="shared" si="2"/>
        <v>2786</v>
      </c>
      <c r="D5" s="27">
        <f t="shared" ref="D5:F5" si="5">D19/C19</f>
        <v>0.1779802373</v>
      </c>
      <c r="E5" s="27">
        <f t="shared" si="5"/>
        <v>0.1687525951</v>
      </c>
      <c r="F5" s="27">
        <f t="shared" si="5"/>
        <v>0.2270650264</v>
      </c>
      <c r="G5" s="28" t="s">
        <v>49</v>
      </c>
      <c r="M5" s="29"/>
    </row>
    <row r="6">
      <c r="M6" s="29"/>
    </row>
    <row r="7">
      <c r="M7" s="29"/>
    </row>
    <row r="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8"/>
      <c r="I8" s="18"/>
      <c r="J8" s="18"/>
      <c r="K8" s="18"/>
      <c r="L8" s="18"/>
      <c r="M8" s="30"/>
      <c r="N8" s="18"/>
      <c r="O8" s="18"/>
      <c r="P8" s="18"/>
    </row>
    <row r="9">
      <c r="A9" s="7" t="s">
        <v>57</v>
      </c>
      <c r="B9" s="7">
        <v>1687.0</v>
      </c>
      <c r="C9" s="7">
        <v>1209.0</v>
      </c>
      <c r="D9" s="31">
        <v>115479.84</v>
      </c>
      <c r="E9" s="31">
        <v>69.99</v>
      </c>
      <c r="F9" s="32">
        <f t="shared" ref="F9:F12" si="6">B9/C23</f>
        <v>64.88461538</v>
      </c>
      <c r="G9" s="33">
        <f t="shared" ref="G9:G12" si="7">D9/C23</f>
        <v>4441.532308</v>
      </c>
      <c r="M9" s="29"/>
    </row>
    <row r="10">
      <c r="A10" s="7" t="s">
        <v>58</v>
      </c>
      <c r="B10" s="7">
        <v>367.0</v>
      </c>
      <c r="C10" s="7">
        <v>333.0</v>
      </c>
      <c r="D10" s="31">
        <v>28803.76</v>
      </c>
      <c r="E10" s="34">
        <v>82.77</v>
      </c>
      <c r="F10" s="35">
        <f t="shared" si="6"/>
        <v>91.75</v>
      </c>
      <c r="G10" s="36">
        <f t="shared" si="7"/>
        <v>7200.94</v>
      </c>
      <c r="M10" s="29"/>
    </row>
    <row r="11">
      <c r="A11" s="7" t="s">
        <v>46</v>
      </c>
      <c r="B11" s="7">
        <v>2055.0</v>
      </c>
      <c r="C11" s="7">
        <v>1674.0</v>
      </c>
      <c r="D11" s="31">
        <v>138127.689999999</v>
      </c>
      <c r="E11" s="31">
        <v>69.59</v>
      </c>
      <c r="F11" s="35">
        <f t="shared" si="6"/>
        <v>102.75</v>
      </c>
      <c r="G11" s="33">
        <f t="shared" si="7"/>
        <v>6906.3845</v>
      </c>
      <c r="M11" s="29"/>
    </row>
    <row r="12">
      <c r="A12" s="7" t="s">
        <v>48</v>
      </c>
      <c r="B12" s="7">
        <v>1204.0</v>
      </c>
      <c r="C12" s="7">
        <v>1060.0</v>
      </c>
      <c r="D12" s="31">
        <v>71835.69</v>
      </c>
      <c r="E12" s="37">
        <v>64.02</v>
      </c>
      <c r="F12" s="38">
        <f t="shared" si="6"/>
        <v>35.41176471</v>
      </c>
      <c r="G12" s="39">
        <f t="shared" si="7"/>
        <v>2112.814412</v>
      </c>
      <c r="M12" s="29"/>
    </row>
    <row r="13">
      <c r="M13" s="29"/>
    </row>
    <row r="14">
      <c r="B14" s="2"/>
      <c r="C14" s="2"/>
      <c r="D14" s="2"/>
      <c r="E14" s="2"/>
      <c r="F14" s="2"/>
      <c r="G14" s="2"/>
      <c r="L14" s="29"/>
    </row>
    <row r="15">
      <c r="A15" s="1" t="s">
        <v>39</v>
      </c>
      <c r="B15" s="1" t="s">
        <v>40</v>
      </c>
      <c r="C15" s="1" t="s">
        <v>13</v>
      </c>
      <c r="D15" s="1" t="s">
        <v>15</v>
      </c>
      <c r="E15" s="1" t="s">
        <v>17</v>
      </c>
      <c r="F15" s="1" t="s">
        <v>18</v>
      </c>
      <c r="G15" s="1"/>
      <c r="H15" s="18"/>
      <c r="I15" s="18"/>
      <c r="J15" s="18"/>
      <c r="K15" s="18"/>
      <c r="L15" s="30"/>
      <c r="M15" s="18"/>
      <c r="N15" s="18"/>
      <c r="O15" s="18"/>
      <c r="P15" s="18"/>
    </row>
    <row r="16">
      <c r="A16" s="7" t="s">
        <v>42</v>
      </c>
      <c r="B16" s="7">
        <v>61096.0</v>
      </c>
      <c r="C16" s="7">
        <v>61096.0</v>
      </c>
      <c r="D16" s="7">
        <v>15952.0</v>
      </c>
      <c r="E16" s="7">
        <v>1177.0</v>
      </c>
      <c r="F16" s="7">
        <v>313.0</v>
      </c>
      <c r="G16" s="7"/>
      <c r="L16" s="29"/>
    </row>
    <row r="17">
      <c r="A17" s="7" t="s">
        <v>44</v>
      </c>
      <c r="B17" s="24">
        <v>10638.0</v>
      </c>
      <c r="C17" s="24">
        <v>10638.0</v>
      </c>
      <c r="D17" s="7">
        <v>2672.0</v>
      </c>
      <c r="E17" s="7">
        <v>903.0</v>
      </c>
      <c r="F17" s="7">
        <v>220.0</v>
      </c>
      <c r="G17" s="7"/>
      <c r="L17" s="29"/>
    </row>
    <row r="18">
      <c r="A18" s="7" t="s">
        <v>46</v>
      </c>
      <c r="B18" s="7">
        <v>69916.0</v>
      </c>
      <c r="C18" s="7">
        <v>69916.0</v>
      </c>
      <c r="D18" s="7">
        <v>15355.0</v>
      </c>
      <c r="E18" s="7">
        <v>4417.0</v>
      </c>
      <c r="F18" s="7">
        <v>1030.0</v>
      </c>
      <c r="G18" s="7"/>
      <c r="L18" s="29"/>
    </row>
    <row r="19">
      <c r="A19" s="7" t="s">
        <v>48</v>
      </c>
      <c r="B19" s="7">
        <v>94724.0</v>
      </c>
      <c r="C19" s="7">
        <v>94724.0</v>
      </c>
      <c r="D19" s="7">
        <v>16859.0</v>
      </c>
      <c r="E19" s="7">
        <v>2845.0</v>
      </c>
      <c r="F19" s="7">
        <v>646.0</v>
      </c>
      <c r="G19" s="7"/>
      <c r="L19" s="29"/>
    </row>
    <row r="20">
      <c r="B20" s="2"/>
      <c r="C20" s="2"/>
      <c r="D20" s="2"/>
      <c r="E20" s="2"/>
      <c r="F20" s="2"/>
      <c r="G20" s="2"/>
      <c r="L20" s="29"/>
    </row>
    <row r="21">
      <c r="B21" s="2"/>
      <c r="C21" s="2"/>
      <c r="D21" s="2"/>
      <c r="E21" s="2"/>
      <c r="F21" s="2"/>
      <c r="G21" s="2"/>
      <c r="L21" s="29"/>
    </row>
    <row r="22">
      <c r="A22" s="1" t="s">
        <v>39</v>
      </c>
      <c r="B22" s="1" t="s">
        <v>59</v>
      </c>
      <c r="C22" s="1" t="s">
        <v>60</v>
      </c>
      <c r="D22" s="3"/>
      <c r="E22" s="3"/>
      <c r="F22" s="3"/>
      <c r="G22" s="3"/>
      <c r="H22" s="18"/>
      <c r="I22" s="18"/>
      <c r="J22" s="18"/>
      <c r="K22" s="18"/>
      <c r="L22" s="30"/>
      <c r="M22" s="18"/>
      <c r="N22" s="18"/>
      <c r="O22" s="18"/>
      <c r="P22" s="18"/>
    </row>
    <row r="23">
      <c r="A23" s="7" t="s">
        <v>42</v>
      </c>
      <c r="B23" s="7" t="s">
        <v>61</v>
      </c>
      <c r="C23" s="40">
        <v>26.0</v>
      </c>
      <c r="L23" s="29"/>
    </row>
    <row r="24">
      <c r="A24" s="7" t="s">
        <v>44</v>
      </c>
      <c r="B24" s="7" t="s">
        <v>62</v>
      </c>
      <c r="C24" s="40">
        <v>4.0</v>
      </c>
      <c r="L24" s="29"/>
    </row>
    <row r="25">
      <c r="A25" s="7" t="s">
        <v>46</v>
      </c>
      <c r="B25" s="7" t="s">
        <v>63</v>
      </c>
      <c r="C25" s="40">
        <v>20.0</v>
      </c>
      <c r="L25" s="29"/>
    </row>
    <row r="26">
      <c r="A26" s="7" t="s">
        <v>48</v>
      </c>
      <c r="B26" s="7" t="s">
        <v>64</v>
      </c>
      <c r="C26" s="40">
        <v>34.0</v>
      </c>
      <c r="L26" s="29"/>
    </row>
    <row r="27">
      <c r="L27" s="29"/>
    </row>
    <row r="28">
      <c r="C28" s="2"/>
      <c r="D28" s="2"/>
      <c r="E28" s="2"/>
      <c r="F28" s="2"/>
      <c r="G28" s="2"/>
      <c r="L28" s="29"/>
    </row>
    <row r="29">
      <c r="A29" s="19"/>
      <c r="B29" s="18"/>
      <c r="C29" s="3"/>
      <c r="D29" s="3"/>
      <c r="E29" s="3"/>
      <c r="F29" s="3"/>
      <c r="G29" s="3"/>
      <c r="H29" s="18"/>
      <c r="I29" s="18"/>
      <c r="J29" s="18"/>
      <c r="K29" s="18"/>
      <c r="L29" s="30"/>
      <c r="M29" s="18"/>
      <c r="N29" s="18"/>
      <c r="O29" s="18"/>
      <c r="P29" s="18"/>
    </row>
    <row r="30">
      <c r="C30" s="2"/>
      <c r="D30" s="2"/>
      <c r="E30" s="2"/>
      <c r="F30" s="2"/>
      <c r="G30" s="2"/>
      <c r="L30" s="29"/>
    </row>
    <row r="31">
      <c r="C31" s="2"/>
      <c r="D31" s="2"/>
      <c r="E31" s="2"/>
      <c r="F31" s="2"/>
      <c r="G31" s="2"/>
      <c r="L31" s="29"/>
    </row>
    <row r="32">
      <c r="C32" s="2"/>
      <c r="D32" s="2"/>
      <c r="E32" s="2"/>
      <c r="F32" s="2"/>
      <c r="G32" s="2"/>
      <c r="L32" s="29"/>
    </row>
    <row r="33">
      <c r="B33" s="2"/>
      <c r="C33" s="2"/>
      <c r="D33" s="2"/>
      <c r="E33" s="2"/>
      <c r="F33" s="2"/>
      <c r="G33" s="2"/>
      <c r="L33" s="29"/>
    </row>
    <row r="34">
      <c r="B34" s="2"/>
      <c r="C34" s="2"/>
      <c r="D34" s="2"/>
      <c r="E34" s="2"/>
      <c r="F34" s="2"/>
      <c r="G34" s="2"/>
      <c r="L34" s="29"/>
    </row>
    <row r="35">
      <c r="F35" s="1"/>
      <c r="I35" s="29"/>
      <c r="J35" s="29"/>
    </row>
    <row r="36">
      <c r="F36" s="41"/>
      <c r="I36" s="29"/>
      <c r="J36" s="29"/>
    </row>
    <row r="37">
      <c r="F37" s="41"/>
      <c r="I37" s="29"/>
      <c r="J37" s="29"/>
    </row>
    <row r="38">
      <c r="F38" s="41"/>
      <c r="I38" s="29"/>
      <c r="J38" s="29"/>
    </row>
    <row r="39">
      <c r="F39" s="41"/>
      <c r="I39" s="29"/>
      <c r="J39" s="29"/>
    </row>
    <row r="40">
      <c r="B40" s="2"/>
      <c r="C40" s="2"/>
      <c r="D40" s="2"/>
      <c r="E40" s="2"/>
      <c r="F40" s="2"/>
      <c r="G40" s="2"/>
      <c r="L40" s="29"/>
    </row>
    <row r="41">
      <c r="B41" s="2"/>
      <c r="C41" s="2"/>
      <c r="D41" s="2"/>
      <c r="E41" s="2"/>
      <c r="F41" s="2"/>
      <c r="G41" s="2"/>
      <c r="L41" s="29"/>
    </row>
    <row r="42">
      <c r="B42" s="2"/>
      <c r="C42" s="2"/>
      <c r="D42" s="2"/>
      <c r="E42" s="2"/>
      <c r="F42" s="2"/>
      <c r="G42" s="2"/>
      <c r="L42" s="29"/>
    </row>
    <row r="43">
      <c r="B43" s="2"/>
      <c r="C43" s="2"/>
      <c r="D43" s="2"/>
      <c r="E43" s="2"/>
      <c r="F43" s="2"/>
      <c r="G43" s="2"/>
      <c r="L43" s="29"/>
    </row>
    <row r="44">
      <c r="B44" s="2"/>
      <c r="C44" s="2"/>
      <c r="D44" s="2"/>
      <c r="E44" s="2"/>
      <c r="F44" s="2"/>
      <c r="G44" s="2"/>
      <c r="L44" s="29"/>
    </row>
    <row r="45">
      <c r="B45" s="2"/>
      <c r="C45" s="2"/>
      <c r="D45" s="2"/>
      <c r="E45" s="2"/>
      <c r="F45" s="2"/>
      <c r="G45" s="2"/>
      <c r="L45" s="29"/>
    </row>
    <row r="46">
      <c r="B46" s="2"/>
      <c r="C46" s="2"/>
      <c r="D46" s="2"/>
      <c r="E46" s="2"/>
      <c r="F46" s="2"/>
      <c r="G46" s="2"/>
      <c r="L46" s="29"/>
    </row>
    <row r="47">
      <c r="B47" s="2"/>
      <c r="C47" s="2"/>
      <c r="D47" s="2"/>
      <c r="E47" s="2"/>
      <c r="F47" s="2"/>
      <c r="G47" s="2"/>
      <c r="L47" s="29"/>
    </row>
    <row r="48">
      <c r="B48" s="2"/>
      <c r="C48" s="2"/>
      <c r="D48" s="2"/>
      <c r="E48" s="2"/>
      <c r="F48" s="2"/>
      <c r="G48" s="2"/>
      <c r="L48" s="29"/>
    </row>
    <row r="49">
      <c r="B49" s="2"/>
      <c r="C49" s="2"/>
      <c r="D49" s="2"/>
      <c r="E49" s="2"/>
      <c r="F49" s="2"/>
      <c r="G49" s="2"/>
      <c r="L49" s="29"/>
    </row>
    <row r="50">
      <c r="B50" s="2"/>
      <c r="C50" s="2"/>
      <c r="D50" s="2"/>
      <c r="E50" s="2"/>
      <c r="F50" s="2"/>
      <c r="G50" s="2"/>
      <c r="L50" s="29"/>
    </row>
    <row r="51">
      <c r="B51" s="2"/>
      <c r="C51" s="2"/>
      <c r="D51" s="2"/>
      <c r="E51" s="2"/>
      <c r="F51" s="2"/>
      <c r="G51" s="2"/>
      <c r="L51" s="29"/>
    </row>
    <row r="52">
      <c r="B52" s="2"/>
      <c r="C52" s="2"/>
      <c r="D52" s="2"/>
      <c r="E52" s="2"/>
      <c r="F52" s="2"/>
      <c r="G52" s="2"/>
      <c r="L52" s="29"/>
    </row>
    <row r="53">
      <c r="B53" s="2"/>
      <c r="C53" s="2"/>
      <c r="D53" s="2"/>
      <c r="E53" s="2"/>
      <c r="F53" s="2"/>
      <c r="G53" s="2"/>
      <c r="L53" s="29"/>
    </row>
    <row r="54">
      <c r="B54" s="2"/>
      <c r="C54" s="2"/>
      <c r="D54" s="2"/>
      <c r="E54" s="2"/>
      <c r="F54" s="2"/>
      <c r="G54" s="2"/>
      <c r="L54" s="29"/>
    </row>
    <row r="55">
      <c r="B55" s="2"/>
      <c r="C55" s="2"/>
      <c r="D55" s="2"/>
      <c r="E55" s="2"/>
      <c r="F55" s="2"/>
      <c r="G55" s="2"/>
      <c r="L55" s="29"/>
    </row>
    <row r="56">
      <c r="B56" s="2"/>
      <c r="C56" s="2"/>
      <c r="D56" s="2"/>
      <c r="E56" s="2"/>
      <c r="F56" s="2"/>
      <c r="G56" s="2"/>
      <c r="L56" s="29"/>
    </row>
    <row r="57">
      <c r="B57" s="2"/>
      <c r="C57" s="2"/>
      <c r="D57" s="2"/>
      <c r="E57" s="2"/>
      <c r="F57" s="2"/>
      <c r="G57" s="2"/>
      <c r="L57" s="29"/>
    </row>
    <row r="58">
      <c r="B58" s="2"/>
      <c r="C58" s="2"/>
      <c r="D58" s="2"/>
      <c r="E58" s="2"/>
      <c r="F58" s="2"/>
      <c r="G58" s="2"/>
      <c r="L58" s="29"/>
    </row>
    <row r="59">
      <c r="B59" s="2"/>
      <c r="C59" s="2"/>
      <c r="D59" s="2"/>
      <c r="E59" s="2"/>
      <c r="F59" s="2"/>
      <c r="G59" s="2"/>
      <c r="L59" s="29"/>
    </row>
    <row r="60">
      <c r="B60" s="2"/>
      <c r="C60" s="2"/>
      <c r="D60" s="2"/>
      <c r="E60" s="2"/>
      <c r="F60" s="2"/>
      <c r="G60" s="2"/>
      <c r="L60" s="29"/>
    </row>
    <row r="61">
      <c r="B61" s="2"/>
      <c r="C61" s="2"/>
      <c r="D61" s="2"/>
      <c r="E61" s="2"/>
      <c r="F61" s="2"/>
      <c r="G61" s="2"/>
      <c r="L61" s="29"/>
    </row>
    <row r="62">
      <c r="B62" s="2"/>
      <c r="C62" s="2"/>
      <c r="D62" s="2"/>
      <c r="E62" s="2"/>
      <c r="F62" s="2"/>
      <c r="G62" s="2"/>
      <c r="L62" s="29"/>
    </row>
    <row r="63">
      <c r="B63" s="2"/>
      <c r="C63" s="2"/>
      <c r="D63" s="2"/>
      <c r="E63" s="2"/>
      <c r="F63" s="2"/>
      <c r="G63" s="2"/>
      <c r="L63" s="29"/>
    </row>
    <row r="64">
      <c r="B64" s="2"/>
      <c r="C64" s="2"/>
      <c r="D64" s="2"/>
      <c r="E64" s="2"/>
      <c r="F64" s="2"/>
      <c r="G64" s="2"/>
      <c r="L64" s="29"/>
    </row>
    <row r="65">
      <c r="B65" s="2"/>
      <c r="C65" s="2"/>
      <c r="D65" s="2"/>
      <c r="E65" s="2"/>
      <c r="F65" s="2"/>
      <c r="G65" s="2"/>
      <c r="L65" s="29"/>
    </row>
    <row r="66">
      <c r="B66" s="2"/>
      <c r="C66" s="2"/>
      <c r="D66" s="2"/>
      <c r="E66" s="2"/>
      <c r="F66" s="2"/>
      <c r="G66" s="2"/>
      <c r="L66" s="29"/>
    </row>
    <row r="67">
      <c r="B67" s="2"/>
      <c r="C67" s="2"/>
      <c r="D67" s="2"/>
      <c r="E67" s="2"/>
      <c r="F67" s="2"/>
      <c r="G67" s="2"/>
      <c r="L67" s="29"/>
    </row>
    <row r="68">
      <c r="B68" s="2"/>
      <c r="C68" s="2"/>
      <c r="D68" s="2"/>
      <c r="E68" s="2"/>
      <c r="F68" s="2"/>
      <c r="G68" s="2"/>
      <c r="L68" s="29"/>
    </row>
    <row r="69">
      <c r="B69" s="2"/>
      <c r="C69" s="2"/>
      <c r="D69" s="2"/>
      <c r="E69" s="2"/>
      <c r="F69" s="2"/>
      <c r="G69" s="2"/>
      <c r="L69" s="29"/>
    </row>
    <row r="70">
      <c r="B70" s="2"/>
      <c r="C70" s="2"/>
      <c r="D70" s="2"/>
      <c r="E70" s="2"/>
      <c r="F70" s="2"/>
      <c r="G70" s="2"/>
      <c r="L70" s="29"/>
    </row>
    <row r="71">
      <c r="B71" s="2"/>
      <c r="C71" s="2"/>
      <c r="D71" s="2"/>
      <c r="E71" s="2"/>
      <c r="F71" s="2"/>
      <c r="G71" s="2"/>
      <c r="L71" s="29"/>
    </row>
    <row r="72">
      <c r="B72" s="2"/>
      <c r="C72" s="2"/>
      <c r="D72" s="2"/>
      <c r="E72" s="2"/>
      <c r="F72" s="2"/>
      <c r="G72" s="2"/>
      <c r="L72" s="29"/>
    </row>
    <row r="73">
      <c r="B73" s="2"/>
      <c r="C73" s="2"/>
      <c r="D73" s="2"/>
      <c r="E73" s="2"/>
      <c r="F73" s="2"/>
      <c r="G73" s="2"/>
      <c r="L73" s="29"/>
    </row>
    <row r="74">
      <c r="B74" s="2"/>
      <c r="C74" s="2"/>
      <c r="D74" s="2"/>
      <c r="E74" s="2"/>
      <c r="F74" s="2"/>
      <c r="G74" s="2"/>
      <c r="L74" s="29"/>
    </row>
    <row r="75">
      <c r="B75" s="2"/>
      <c r="C75" s="2"/>
      <c r="D75" s="2"/>
      <c r="E75" s="2"/>
      <c r="F75" s="2"/>
      <c r="G75" s="2"/>
      <c r="L75" s="29"/>
    </row>
    <row r="76">
      <c r="B76" s="2"/>
      <c r="C76" s="2"/>
      <c r="D76" s="2"/>
      <c r="E76" s="2"/>
      <c r="F76" s="2"/>
      <c r="G76" s="2"/>
      <c r="L76" s="29"/>
    </row>
    <row r="77">
      <c r="B77" s="2"/>
      <c r="C77" s="2"/>
      <c r="D77" s="2"/>
      <c r="E77" s="2"/>
      <c r="F77" s="2"/>
      <c r="G77" s="2"/>
      <c r="L77" s="29"/>
    </row>
    <row r="78">
      <c r="B78" s="2"/>
      <c r="C78" s="2"/>
      <c r="D78" s="2"/>
      <c r="E78" s="2"/>
      <c r="F78" s="2"/>
      <c r="G78" s="2"/>
      <c r="L78" s="29"/>
    </row>
    <row r="79">
      <c r="B79" s="2"/>
      <c r="C79" s="2"/>
      <c r="D79" s="2"/>
      <c r="E79" s="2"/>
      <c r="F79" s="2"/>
      <c r="G79" s="2"/>
      <c r="L79" s="29"/>
    </row>
    <row r="80">
      <c r="B80" s="2"/>
      <c r="C80" s="2"/>
      <c r="D80" s="2"/>
      <c r="E80" s="2"/>
      <c r="F80" s="2"/>
      <c r="G80" s="2"/>
      <c r="L80" s="29"/>
    </row>
    <row r="81">
      <c r="B81" s="2"/>
      <c r="C81" s="2"/>
      <c r="D81" s="2"/>
      <c r="E81" s="2"/>
      <c r="F81" s="2"/>
      <c r="G81" s="2"/>
      <c r="L81" s="29"/>
    </row>
    <row r="82">
      <c r="B82" s="2"/>
      <c r="C82" s="2"/>
      <c r="D82" s="2"/>
      <c r="E82" s="2"/>
      <c r="F82" s="2"/>
      <c r="G82" s="2"/>
      <c r="L82" s="29"/>
    </row>
    <row r="83">
      <c r="B83" s="2"/>
      <c r="C83" s="2"/>
      <c r="D83" s="2"/>
      <c r="E83" s="2"/>
      <c r="F83" s="2"/>
      <c r="G83" s="2"/>
      <c r="L83" s="29"/>
    </row>
    <row r="84">
      <c r="B84" s="2"/>
      <c r="C84" s="2"/>
      <c r="D84" s="2"/>
      <c r="E84" s="2"/>
      <c r="F84" s="2"/>
      <c r="G84" s="2"/>
      <c r="L84" s="29"/>
    </row>
    <row r="85">
      <c r="B85" s="2"/>
      <c r="C85" s="2"/>
      <c r="D85" s="2"/>
      <c r="E85" s="2"/>
      <c r="F85" s="2"/>
      <c r="G85" s="2"/>
      <c r="L85" s="29"/>
    </row>
    <row r="86">
      <c r="B86" s="2"/>
      <c r="C86" s="2"/>
      <c r="D86" s="2"/>
      <c r="E86" s="2"/>
      <c r="F86" s="2"/>
      <c r="G86" s="2"/>
      <c r="L86" s="29"/>
    </row>
    <row r="87">
      <c r="B87" s="2"/>
      <c r="C87" s="2"/>
      <c r="D87" s="2"/>
      <c r="E87" s="2"/>
      <c r="F87" s="2"/>
      <c r="G87" s="2"/>
      <c r="L87" s="29"/>
    </row>
    <row r="88">
      <c r="B88" s="2"/>
      <c r="C88" s="2"/>
      <c r="D88" s="2"/>
      <c r="E88" s="2"/>
      <c r="F88" s="2"/>
      <c r="G88" s="2"/>
      <c r="L88" s="29"/>
    </row>
    <row r="89">
      <c r="B89" s="2"/>
      <c r="C89" s="2"/>
      <c r="D89" s="2"/>
      <c r="E89" s="2"/>
      <c r="F89" s="2"/>
      <c r="G89" s="2"/>
      <c r="L89" s="29"/>
    </row>
    <row r="90">
      <c r="B90" s="2"/>
      <c r="C90" s="2"/>
      <c r="D90" s="2"/>
      <c r="E90" s="2"/>
      <c r="F90" s="2"/>
      <c r="G90" s="2"/>
      <c r="L90" s="29"/>
    </row>
    <row r="91">
      <c r="B91" s="2"/>
      <c r="C91" s="2"/>
      <c r="D91" s="2"/>
      <c r="E91" s="2"/>
      <c r="F91" s="2"/>
      <c r="G91" s="2"/>
      <c r="L91" s="29"/>
    </row>
    <row r="92">
      <c r="B92" s="2"/>
      <c r="C92" s="2"/>
      <c r="D92" s="2"/>
      <c r="E92" s="2"/>
      <c r="F92" s="2"/>
      <c r="G92" s="2"/>
      <c r="L92" s="29"/>
    </row>
    <row r="93">
      <c r="B93" s="2"/>
      <c r="C93" s="2"/>
      <c r="D93" s="2"/>
      <c r="E93" s="2"/>
      <c r="F93" s="2"/>
      <c r="G93" s="2"/>
      <c r="L93" s="29"/>
    </row>
    <row r="94">
      <c r="B94" s="2"/>
      <c r="C94" s="2"/>
      <c r="D94" s="2"/>
      <c r="E94" s="2"/>
      <c r="F94" s="2"/>
      <c r="G94" s="2"/>
      <c r="L94" s="29"/>
    </row>
    <row r="95">
      <c r="B95" s="2"/>
      <c r="C95" s="2"/>
      <c r="D95" s="2"/>
      <c r="E95" s="2"/>
      <c r="F95" s="2"/>
      <c r="G95" s="2"/>
      <c r="L95" s="29"/>
    </row>
    <row r="96">
      <c r="B96" s="2"/>
      <c r="C96" s="2"/>
      <c r="D96" s="2"/>
      <c r="E96" s="2"/>
      <c r="F96" s="2"/>
      <c r="G96" s="2"/>
      <c r="L96" s="29"/>
    </row>
    <row r="97">
      <c r="B97" s="2"/>
      <c r="C97" s="2"/>
      <c r="D97" s="2"/>
      <c r="E97" s="2"/>
      <c r="F97" s="2"/>
      <c r="G97" s="2"/>
      <c r="L97" s="29"/>
    </row>
    <row r="98">
      <c r="B98" s="2"/>
      <c r="C98" s="2"/>
      <c r="D98" s="2"/>
      <c r="E98" s="2"/>
      <c r="F98" s="2"/>
      <c r="G98" s="2"/>
      <c r="L98" s="29"/>
    </row>
    <row r="99">
      <c r="B99" s="2"/>
      <c r="C99" s="2"/>
      <c r="D99" s="2"/>
      <c r="E99" s="2"/>
      <c r="F99" s="2"/>
      <c r="G99" s="2"/>
      <c r="L99" s="29"/>
    </row>
    <row r="100">
      <c r="B100" s="2"/>
      <c r="C100" s="2"/>
      <c r="D100" s="2"/>
      <c r="E100" s="2"/>
      <c r="F100" s="2"/>
      <c r="G100" s="2"/>
      <c r="L100" s="29"/>
    </row>
    <row r="101">
      <c r="B101" s="2"/>
      <c r="C101" s="2"/>
      <c r="D101" s="2"/>
      <c r="E101" s="2"/>
      <c r="F101" s="2"/>
      <c r="G101" s="2"/>
      <c r="L101" s="29"/>
    </row>
    <row r="102">
      <c r="B102" s="2"/>
      <c r="C102" s="2"/>
      <c r="D102" s="2"/>
      <c r="E102" s="2"/>
      <c r="F102" s="2"/>
      <c r="G102" s="2"/>
      <c r="L102" s="29"/>
    </row>
    <row r="103">
      <c r="B103" s="2"/>
      <c r="C103" s="2"/>
      <c r="D103" s="2"/>
      <c r="E103" s="2"/>
      <c r="F103" s="2"/>
      <c r="G103" s="2"/>
      <c r="L103" s="29"/>
    </row>
    <row r="104">
      <c r="B104" s="2"/>
      <c r="C104" s="2"/>
      <c r="D104" s="2"/>
      <c r="E104" s="2"/>
      <c r="F104" s="2"/>
      <c r="G104" s="2"/>
      <c r="L104" s="29"/>
    </row>
    <row r="105">
      <c r="B105" s="2"/>
      <c r="C105" s="2"/>
      <c r="D105" s="2"/>
      <c r="E105" s="2"/>
      <c r="F105" s="2"/>
      <c r="G105" s="2"/>
      <c r="L105" s="29"/>
    </row>
    <row r="106">
      <c r="B106" s="2"/>
      <c r="C106" s="2"/>
      <c r="D106" s="2"/>
      <c r="E106" s="2"/>
      <c r="F106" s="2"/>
      <c r="G106" s="2"/>
      <c r="L106" s="29"/>
    </row>
    <row r="107">
      <c r="B107" s="2"/>
      <c r="C107" s="2"/>
      <c r="D107" s="2"/>
      <c r="E107" s="2"/>
      <c r="F107" s="2"/>
      <c r="G107" s="2"/>
      <c r="L107" s="29"/>
    </row>
    <row r="108">
      <c r="B108" s="2"/>
      <c r="C108" s="2"/>
      <c r="D108" s="2"/>
      <c r="E108" s="2"/>
      <c r="F108" s="2"/>
      <c r="G108" s="2"/>
      <c r="L108" s="29"/>
    </row>
    <row r="109">
      <c r="B109" s="2"/>
      <c r="C109" s="2"/>
      <c r="D109" s="2"/>
      <c r="E109" s="2"/>
      <c r="F109" s="2"/>
      <c r="G109" s="2"/>
      <c r="L109" s="29"/>
    </row>
    <row r="110">
      <c r="B110" s="2"/>
      <c r="C110" s="2"/>
      <c r="D110" s="2"/>
      <c r="E110" s="2"/>
      <c r="F110" s="2"/>
      <c r="G110" s="2"/>
      <c r="L110" s="29"/>
    </row>
    <row r="111">
      <c r="B111" s="2"/>
      <c r="C111" s="2"/>
      <c r="D111" s="2"/>
      <c r="E111" s="2"/>
      <c r="F111" s="2"/>
      <c r="G111" s="2"/>
      <c r="L111" s="29"/>
    </row>
    <row r="112">
      <c r="B112" s="2"/>
      <c r="C112" s="2"/>
      <c r="D112" s="2"/>
      <c r="E112" s="2"/>
      <c r="F112" s="2"/>
      <c r="G112" s="2"/>
      <c r="L112" s="29"/>
    </row>
    <row r="113">
      <c r="B113" s="2"/>
      <c r="C113" s="2"/>
      <c r="D113" s="2"/>
      <c r="E113" s="2"/>
      <c r="F113" s="2"/>
      <c r="G113" s="2"/>
      <c r="L113" s="29"/>
    </row>
    <row r="114">
      <c r="B114" s="2"/>
      <c r="C114" s="2"/>
      <c r="D114" s="2"/>
      <c r="E114" s="2"/>
      <c r="F114" s="2"/>
      <c r="G114" s="2"/>
      <c r="L114" s="29"/>
    </row>
    <row r="115">
      <c r="B115" s="2"/>
      <c r="C115" s="2"/>
      <c r="D115" s="2"/>
      <c r="E115" s="2"/>
      <c r="F115" s="2"/>
      <c r="G115" s="2"/>
      <c r="L115" s="29"/>
    </row>
    <row r="116">
      <c r="B116" s="2"/>
      <c r="C116" s="2"/>
      <c r="D116" s="2"/>
      <c r="E116" s="2"/>
      <c r="F116" s="2"/>
      <c r="G116" s="2"/>
      <c r="L116" s="29"/>
    </row>
    <row r="117">
      <c r="B117" s="2"/>
      <c r="C117" s="2"/>
      <c r="D117" s="2"/>
      <c r="E117" s="2"/>
      <c r="F117" s="2"/>
      <c r="G117" s="2"/>
      <c r="L117" s="29"/>
    </row>
    <row r="118">
      <c r="B118" s="2"/>
      <c r="C118" s="2"/>
      <c r="D118" s="2"/>
      <c r="E118" s="2"/>
      <c r="F118" s="2"/>
      <c r="G118" s="2"/>
      <c r="L118" s="29"/>
    </row>
    <row r="119">
      <c r="B119" s="2"/>
      <c r="C119" s="2"/>
      <c r="D119" s="2"/>
      <c r="E119" s="2"/>
      <c r="F119" s="2"/>
      <c r="G119" s="2"/>
      <c r="L119" s="29"/>
    </row>
    <row r="120">
      <c r="B120" s="2"/>
      <c r="C120" s="2"/>
      <c r="D120" s="2"/>
      <c r="E120" s="2"/>
      <c r="F120" s="2"/>
      <c r="G120" s="2"/>
      <c r="L120" s="29"/>
    </row>
    <row r="121">
      <c r="B121" s="2"/>
      <c r="C121" s="2"/>
      <c r="D121" s="2"/>
      <c r="E121" s="2"/>
      <c r="F121" s="2"/>
      <c r="G121" s="2"/>
      <c r="L121" s="29"/>
    </row>
    <row r="122">
      <c r="B122" s="2"/>
      <c r="C122" s="2"/>
      <c r="D122" s="2"/>
      <c r="E122" s="2"/>
      <c r="F122" s="2"/>
      <c r="G122" s="2"/>
      <c r="L122" s="29"/>
    </row>
    <row r="123">
      <c r="B123" s="2"/>
      <c r="C123" s="2"/>
      <c r="D123" s="2"/>
      <c r="E123" s="2"/>
      <c r="F123" s="2"/>
      <c r="G123" s="2"/>
      <c r="L123" s="29"/>
    </row>
    <row r="124">
      <c r="B124" s="2"/>
      <c r="C124" s="2"/>
      <c r="D124" s="2"/>
      <c r="E124" s="2"/>
      <c r="F124" s="2"/>
      <c r="G124" s="2"/>
      <c r="L124" s="29"/>
    </row>
    <row r="125">
      <c r="B125" s="2"/>
      <c r="C125" s="2"/>
      <c r="D125" s="2"/>
      <c r="E125" s="2"/>
      <c r="F125" s="2"/>
      <c r="G125" s="2"/>
      <c r="L125" s="29"/>
    </row>
    <row r="126">
      <c r="B126" s="2"/>
      <c r="C126" s="2"/>
      <c r="D126" s="2"/>
      <c r="E126" s="2"/>
      <c r="F126" s="2"/>
      <c r="G126" s="2"/>
      <c r="L126" s="29"/>
    </row>
    <row r="127">
      <c r="B127" s="2"/>
      <c r="C127" s="2"/>
      <c r="D127" s="2"/>
      <c r="E127" s="2"/>
      <c r="F127" s="2"/>
      <c r="G127" s="2"/>
      <c r="L127" s="29"/>
    </row>
    <row r="128">
      <c r="B128" s="2"/>
      <c r="C128" s="2"/>
      <c r="D128" s="2"/>
      <c r="E128" s="2"/>
      <c r="F128" s="2"/>
      <c r="G128" s="2"/>
      <c r="L128" s="29"/>
    </row>
    <row r="129">
      <c r="B129" s="2"/>
      <c r="C129" s="2"/>
      <c r="D129" s="2"/>
      <c r="E129" s="2"/>
      <c r="F129" s="2"/>
      <c r="G129" s="2"/>
      <c r="L129" s="29"/>
    </row>
    <row r="130">
      <c r="B130" s="2"/>
      <c r="C130" s="2"/>
      <c r="D130" s="2"/>
      <c r="E130" s="2"/>
      <c r="F130" s="2"/>
      <c r="G130" s="2"/>
      <c r="L130" s="29"/>
    </row>
    <row r="131">
      <c r="B131" s="2"/>
      <c r="C131" s="2"/>
      <c r="D131" s="2"/>
      <c r="E131" s="2"/>
      <c r="F131" s="2"/>
      <c r="G131" s="2"/>
      <c r="L131" s="29"/>
    </row>
    <row r="132">
      <c r="B132" s="2"/>
      <c r="C132" s="2"/>
      <c r="D132" s="2"/>
      <c r="E132" s="2"/>
      <c r="F132" s="2"/>
      <c r="G132" s="2"/>
      <c r="L132" s="29"/>
    </row>
    <row r="133">
      <c r="B133" s="2"/>
      <c r="C133" s="2"/>
      <c r="D133" s="2"/>
      <c r="E133" s="2"/>
      <c r="F133" s="2"/>
      <c r="G133" s="2"/>
      <c r="L133" s="29"/>
    </row>
    <row r="134">
      <c r="B134" s="2"/>
      <c r="C134" s="2"/>
      <c r="D134" s="2"/>
      <c r="E134" s="2"/>
      <c r="F134" s="2"/>
      <c r="G134" s="2"/>
      <c r="L134" s="29"/>
    </row>
    <row r="135">
      <c r="B135" s="2"/>
      <c r="C135" s="2"/>
      <c r="D135" s="2"/>
      <c r="E135" s="2"/>
      <c r="F135" s="2"/>
      <c r="G135" s="2"/>
      <c r="L135" s="29"/>
    </row>
    <row r="136">
      <c r="B136" s="2"/>
      <c r="C136" s="2"/>
      <c r="D136" s="2"/>
      <c r="E136" s="2"/>
      <c r="F136" s="2"/>
      <c r="G136" s="2"/>
      <c r="L136" s="29"/>
    </row>
    <row r="137">
      <c r="B137" s="2"/>
      <c r="C137" s="2"/>
      <c r="D137" s="2"/>
      <c r="E137" s="2"/>
      <c r="F137" s="2"/>
      <c r="G137" s="2"/>
      <c r="L137" s="29"/>
    </row>
    <row r="138">
      <c r="B138" s="2"/>
      <c r="C138" s="2"/>
      <c r="D138" s="2"/>
      <c r="E138" s="2"/>
      <c r="F138" s="2"/>
      <c r="G138" s="2"/>
      <c r="L138" s="29"/>
    </row>
    <row r="139">
      <c r="B139" s="2"/>
      <c r="C139" s="2"/>
      <c r="D139" s="2"/>
      <c r="E139" s="2"/>
      <c r="F139" s="2"/>
      <c r="G139" s="2"/>
      <c r="L139" s="29"/>
    </row>
    <row r="140">
      <c r="B140" s="2"/>
      <c r="C140" s="2"/>
      <c r="D140" s="2"/>
      <c r="E140" s="2"/>
      <c r="F140" s="2"/>
      <c r="G140" s="2"/>
      <c r="L140" s="29"/>
    </row>
    <row r="141">
      <c r="B141" s="2"/>
      <c r="C141" s="2"/>
      <c r="D141" s="2"/>
      <c r="E141" s="2"/>
      <c r="F141" s="2"/>
      <c r="G141" s="2"/>
      <c r="L141" s="29"/>
    </row>
    <row r="142">
      <c r="B142" s="2"/>
      <c r="C142" s="2"/>
      <c r="D142" s="2"/>
      <c r="E142" s="2"/>
      <c r="F142" s="2"/>
      <c r="G142" s="2"/>
      <c r="L142" s="29"/>
    </row>
    <row r="143">
      <c r="B143" s="2"/>
      <c r="C143" s="2"/>
      <c r="D143" s="2"/>
      <c r="E143" s="2"/>
      <c r="F143" s="2"/>
      <c r="G143" s="2"/>
      <c r="L143" s="29"/>
    </row>
    <row r="144">
      <c r="B144" s="2"/>
      <c r="C144" s="2"/>
      <c r="D144" s="2"/>
      <c r="E144" s="2"/>
      <c r="F144" s="2"/>
      <c r="G144" s="2"/>
      <c r="L144" s="29"/>
    </row>
    <row r="145">
      <c r="B145" s="2"/>
      <c r="C145" s="2"/>
      <c r="D145" s="2"/>
      <c r="E145" s="2"/>
      <c r="F145" s="2"/>
      <c r="G145" s="2"/>
      <c r="L145" s="29"/>
    </row>
    <row r="146">
      <c r="B146" s="2"/>
      <c r="C146" s="2"/>
      <c r="D146" s="2"/>
      <c r="E146" s="2"/>
      <c r="F146" s="2"/>
      <c r="G146" s="2"/>
      <c r="L146" s="29"/>
    </row>
    <row r="147">
      <c r="B147" s="2"/>
      <c r="C147" s="2"/>
      <c r="D147" s="2"/>
      <c r="E147" s="2"/>
      <c r="F147" s="2"/>
      <c r="G147" s="2"/>
      <c r="L147" s="29"/>
    </row>
    <row r="148">
      <c r="B148" s="2"/>
      <c r="C148" s="2"/>
      <c r="D148" s="2"/>
      <c r="E148" s="2"/>
      <c r="F148" s="2"/>
      <c r="G148" s="2"/>
      <c r="L148" s="29"/>
    </row>
    <row r="149">
      <c r="B149" s="2"/>
      <c r="C149" s="2"/>
      <c r="D149" s="2"/>
      <c r="E149" s="2"/>
      <c r="F149" s="2"/>
      <c r="G149" s="2"/>
      <c r="L149" s="29"/>
    </row>
    <row r="150">
      <c r="B150" s="2"/>
      <c r="C150" s="2"/>
      <c r="D150" s="2"/>
      <c r="E150" s="2"/>
      <c r="F150" s="2"/>
      <c r="G150" s="2"/>
      <c r="L150" s="29"/>
    </row>
    <row r="151">
      <c r="B151" s="2"/>
      <c r="C151" s="2"/>
      <c r="D151" s="2"/>
      <c r="E151" s="2"/>
      <c r="F151" s="2"/>
      <c r="G151" s="2"/>
      <c r="L151" s="29"/>
    </row>
    <row r="152">
      <c r="B152" s="2"/>
      <c r="C152" s="2"/>
      <c r="D152" s="2"/>
      <c r="E152" s="2"/>
      <c r="F152" s="2"/>
      <c r="G152" s="2"/>
      <c r="L152" s="29"/>
    </row>
    <row r="153">
      <c r="B153" s="2"/>
      <c r="C153" s="2"/>
      <c r="D153" s="2"/>
      <c r="E153" s="2"/>
      <c r="F153" s="2"/>
      <c r="G153" s="2"/>
      <c r="L153" s="29"/>
    </row>
    <row r="154">
      <c r="B154" s="2"/>
      <c r="C154" s="2"/>
      <c r="D154" s="2"/>
      <c r="E154" s="2"/>
      <c r="F154" s="2"/>
      <c r="G154" s="2"/>
      <c r="L154" s="29"/>
    </row>
    <row r="155">
      <c r="B155" s="2"/>
      <c r="C155" s="2"/>
      <c r="D155" s="2"/>
      <c r="E155" s="2"/>
      <c r="F155" s="2"/>
      <c r="G155" s="2"/>
      <c r="L155" s="29"/>
    </row>
    <row r="156">
      <c r="B156" s="2"/>
      <c r="C156" s="2"/>
      <c r="D156" s="2"/>
      <c r="E156" s="2"/>
      <c r="F156" s="2"/>
      <c r="G156" s="2"/>
      <c r="L156" s="29"/>
    </row>
    <row r="157">
      <c r="B157" s="2"/>
      <c r="C157" s="2"/>
      <c r="D157" s="2"/>
      <c r="E157" s="2"/>
      <c r="F157" s="2"/>
      <c r="G157" s="2"/>
      <c r="L157" s="29"/>
    </row>
    <row r="158">
      <c r="B158" s="2"/>
      <c r="C158" s="2"/>
      <c r="D158" s="2"/>
      <c r="E158" s="2"/>
      <c r="F158" s="2"/>
      <c r="G158" s="2"/>
      <c r="L158" s="29"/>
    </row>
    <row r="159">
      <c r="B159" s="2"/>
      <c r="C159" s="2"/>
      <c r="D159" s="2"/>
      <c r="E159" s="2"/>
      <c r="F159" s="2"/>
      <c r="G159" s="2"/>
      <c r="L159" s="29"/>
    </row>
    <row r="160">
      <c r="B160" s="2"/>
      <c r="C160" s="2"/>
      <c r="D160" s="2"/>
      <c r="E160" s="2"/>
      <c r="F160" s="2"/>
      <c r="G160" s="2"/>
      <c r="L160" s="29"/>
    </row>
    <row r="161">
      <c r="B161" s="2"/>
      <c r="C161" s="2"/>
      <c r="D161" s="2"/>
      <c r="E161" s="2"/>
      <c r="F161" s="2"/>
      <c r="G161" s="2"/>
      <c r="L161" s="29"/>
    </row>
    <row r="162">
      <c r="B162" s="2"/>
      <c r="C162" s="2"/>
      <c r="D162" s="2"/>
      <c r="E162" s="2"/>
      <c r="F162" s="2"/>
      <c r="G162" s="2"/>
      <c r="L162" s="29"/>
    </row>
    <row r="163">
      <c r="B163" s="2"/>
      <c r="C163" s="2"/>
      <c r="D163" s="2"/>
      <c r="E163" s="2"/>
      <c r="F163" s="2"/>
      <c r="G163" s="2"/>
      <c r="L163" s="29"/>
    </row>
    <row r="164">
      <c r="B164" s="2"/>
      <c r="C164" s="2"/>
      <c r="D164" s="2"/>
      <c r="E164" s="2"/>
      <c r="F164" s="2"/>
      <c r="G164" s="2"/>
      <c r="L164" s="29"/>
    </row>
    <row r="165">
      <c r="B165" s="2"/>
      <c r="C165" s="2"/>
      <c r="D165" s="2"/>
      <c r="E165" s="2"/>
      <c r="F165" s="2"/>
      <c r="G165" s="2"/>
      <c r="L165" s="29"/>
    </row>
    <row r="166">
      <c r="B166" s="2"/>
      <c r="C166" s="2"/>
      <c r="D166" s="2"/>
      <c r="E166" s="2"/>
      <c r="F166" s="2"/>
      <c r="G166" s="2"/>
      <c r="L166" s="29"/>
    </row>
    <row r="167">
      <c r="B167" s="2"/>
      <c r="C167" s="2"/>
      <c r="D167" s="2"/>
      <c r="E167" s="2"/>
      <c r="F167" s="2"/>
      <c r="G167" s="2"/>
      <c r="L167" s="29"/>
    </row>
    <row r="168">
      <c r="B168" s="2"/>
      <c r="C168" s="2"/>
      <c r="D168" s="2"/>
      <c r="E168" s="2"/>
      <c r="F168" s="2"/>
      <c r="G168" s="2"/>
      <c r="L168" s="29"/>
    </row>
    <row r="169">
      <c r="B169" s="2"/>
      <c r="C169" s="2"/>
      <c r="D169" s="2"/>
      <c r="E169" s="2"/>
      <c r="F169" s="2"/>
      <c r="G169" s="2"/>
      <c r="L169" s="29"/>
    </row>
    <row r="170">
      <c r="B170" s="2"/>
      <c r="C170" s="2"/>
      <c r="D170" s="2"/>
      <c r="E170" s="2"/>
      <c r="F170" s="2"/>
      <c r="G170" s="2"/>
      <c r="L170" s="29"/>
    </row>
    <row r="171">
      <c r="B171" s="2"/>
      <c r="C171" s="2"/>
      <c r="D171" s="2"/>
      <c r="E171" s="2"/>
      <c r="F171" s="2"/>
      <c r="G171" s="2"/>
      <c r="L171" s="29"/>
    </row>
    <row r="172">
      <c r="B172" s="2"/>
      <c r="C172" s="2"/>
      <c r="D172" s="2"/>
      <c r="E172" s="2"/>
      <c r="F172" s="2"/>
      <c r="G172" s="2"/>
      <c r="L172" s="29"/>
    </row>
    <row r="173">
      <c r="B173" s="2"/>
      <c r="C173" s="2"/>
      <c r="D173" s="2"/>
      <c r="E173" s="2"/>
      <c r="F173" s="2"/>
      <c r="G173" s="2"/>
      <c r="L173" s="29"/>
    </row>
    <row r="174">
      <c r="B174" s="2"/>
      <c r="C174" s="2"/>
      <c r="D174" s="2"/>
      <c r="E174" s="2"/>
      <c r="F174" s="2"/>
      <c r="G174" s="2"/>
      <c r="L174" s="29"/>
    </row>
    <row r="175">
      <c r="B175" s="2"/>
      <c r="C175" s="2"/>
      <c r="D175" s="2"/>
      <c r="E175" s="2"/>
      <c r="F175" s="2"/>
      <c r="G175" s="2"/>
      <c r="L175" s="29"/>
    </row>
    <row r="176">
      <c r="B176" s="2"/>
      <c r="C176" s="2"/>
      <c r="D176" s="2"/>
      <c r="E176" s="2"/>
      <c r="F176" s="2"/>
      <c r="G176" s="2"/>
      <c r="L176" s="29"/>
    </row>
    <row r="177">
      <c r="B177" s="2"/>
      <c r="C177" s="2"/>
      <c r="D177" s="2"/>
      <c r="E177" s="2"/>
      <c r="F177" s="2"/>
      <c r="G177" s="2"/>
      <c r="L177" s="29"/>
    </row>
    <row r="178">
      <c r="B178" s="2"/>
      <c r="C178" s="2"/>
      <c r="D178" s="2"/>
      <c r="E178" s="2"/>
      <c r="F178" s="2"/>
      <c r="G178" s="2"/>
      <c r="L178" s="29"/>
    </row>
    <row r="179">
      <c r="B179" s="2"/>
      <c r="C179" s="2"/>
      <c r="D179" s="2"/>
      <c r="E179" s="2"/>
      <c r="F179" s="2"/>
      <c r="G179" s="2"/>
      <c r="L179" s="29"/>
    </row>
    <row r="180">
      <c r="B180" s="2"/>
      <c r="C180" s="2"/>
      <c r="D180" s="2"/>
      <c r="E180" s="2"/>
      <c r="F180" s="2"/>
      <c r="G180" s="2"/>
      <c r="L180" s="29"/>
    </row>
    <row r="181">
      <c r="B181" s="2"/>
      <c r="C181" s="2"/>
      <c r="D181" s="2"/>
      <c r="E181" s="2"/>
      <c r="F181" s="2"/>
      <c r="G181" s="2"/>
      <c r="L181" s="29"/>
    </row>
    <row r="182">
      <c r="B182" s="2"/>
      <c r="C182" s="2"/>
      <c r="D182" s="2"/>
      <c r="E182" s="2"/>
      <c r="F182" s="2"/>
      <c r="G182" s="2"/>
      <c r="L182" s="29"/>
    </row>
    <row r="183">
      <c r="B183" s="2"/>
      <c r="C183" s="2"/>
      <c r="D183" s="2"/>
      <c r="E183" s="2"/>
      <c r="F183" s="2"/>
      <c r="G183" s="2"/>
      <c r="L183" s="29"/>
    </row>
    <row r="184">
      <c r="B184" s="2"/>
      <c r="C184" s="2"/>
      <c r="D184" s="2"/>
      <c r="E184" s="2"/>
      <c r="F184" s="2"/>
      <c r="G184" s="2"/>
      <c r="L184" s="29"/>
    </row>
    <row r="185">
      <c r="B185" s="2"/>
      <c r="C185" s="2"/>
      <c r="D185" s="2"/>
      <c r="E185" s="2"/>
      <c r="F185" s="2"/>
      <c r="G185" s="2"/>
      <c r="L185" s="29"/>
    </row>
    <row r="186">
      <c r="B186" s="2"/>
      <c r="C186" s="2"/>
      <c r="D186" s="2"/>
      <c r="E186" s="2"/>
      <c r="F186" s="2"/>
      <c r="G186" s="2"/>
      <c r="L186" s="29"/>
    </row>
    <row r="187">
      <c r="B187" s="2"/>
      <c r="C187" s="2"/>
      <c r="D187" s="2"/>
      <c r="E187" s="2"/>
      <c r="F187" s="2"/>
      <c r="G187" s="2"/>
      <c r="L187" s="29"/>
    </row>
    <row r="188">
      <c r="B188" s="2"/>
      <c r="C188" s="2"/>
      <c r="D188" s="2"/>
      <c r="E188" s="2"/>
      <c r="F188" s="2"/>
      <c r="G188" s="2"/>
      <c r="L188" s="29"/>
    </row>
    <row r="189">
      <c r="B189" s="2"/>
      <c r="C189" s="2"/>
      <c r="D189" s="2"/>
      <c r="E189" s="2"/>
      <c r="F189" s="2"/>
      <c r="G189" s="2"/>
      <c r="L189" s="29"/>
    </row>
    <row r="190">
      <c r="B190" s="2"/>
      <c r="C190" s="2"/>
      <c r="D190" s="2"/>
      <c r="E190" s="2"/>
      <c r="F190" s="2"/>
      <c r="G190" s="2"/>
      <c r="L190" s="29"/>
    </row>
    <row r="191">
      <c r="B191" s="2"/>
      <c r="C191" s="2"/>
      <c r="D191" s="2"/>
      <c r="E191" s="2"/>
      <c r="F191" s="2"/>
      <c r="G191" s="2"/>
      <c r="L191" s="29"/>
    </row>
    <row r="192">
      <c r="B192" s="2"/>
      <c r="C192" s="2"/>
      <c r="D192" s="2"/>
      <c r="E192" s="2"/>
      <c r="F192" s="2"/>
      <c r="G192" s="2"/>
      <c r="L192" s="29"/>
    </row>
    <row r="193">
      <c r="B193" s="2"/>
      <c r="C193" s="2"/>
      <c r="D193" s="2"/>
      <c r="E193" s="2"/>
      <c r="F193" s="2"/>
      <c r="G193" s="2"/>
      <c r="L193" s="29"/>
    </row>
    <row r="194">
      <c r="B194" s="2"/>
      <c r="C194" s="2"/>
      <c r="D194" s="2"/>
      <c r="E194" s="2"/>
      <c r="F194" s="2"/>
      <c r="G194" s="2"/>
      <c r="L194" s="29"/>
    </row>
    <row r="195">
      <c r="B195" s="2"/>
      <c r="C195" s="2"/>
      <c r="D195" s="2"/>
      <c r="E195" s="2"/>
      <c r="F195" s="2"/>
      <c r="G195" s="2"/>
      <c r="L195" s="29"/>
    </row>
    <row r="196">
      <c r="B196" s="2"/>
      <c r="C196" s="2"/>
      <c r="D196" s="2"/>
      <c r="E196" s="2"/>
      <c r="F196" s="2"/>
      <c r="G196" s="2"/>
      <c r="L196" s="29"/>
    </row>
    <row r="197">
      <c r="B197" s="2"/>
      <c r="C197" s="2"/>
      <c r="D197" s="2"/>
      <c r="E197" s="2"/>
      <c r="F197" s="2"/>
      <c r="G197" s="2"/>
      <c r="L197" s="29"/>
    </row>
    <row r="198">
      <c r="B198" s="2"/>
      <c r="C198" s="2"/>
      <c r="D198" s="2"/>
      <c r="E198" s="2"/>
      <c r="F198" s="2"/>
      <c r="G198" s="2"/>
      <c r="L198" s="29"/>
    </row>
    <row r="199">
      <c r="B199" s="2"/>
      <c r="C199" s="2"/>
      <c r="D199" s="2"/>
      <c r="E199" s="2"/>
      <c r="F199" s="2"/>
      <c r="G199" s="2"/>
      <c r="L199" s="29"/>
    </row>
    <row r="200">
      <c r="B200" s="2"/>
      <c r="C200" s="2"/>
      <c r="D200" s="2"/>
      <c r="E200" s="2"/>
      <c r="F200" s="2"/>
      <c r="G200" s="2"/>
      <c r="L200" s="29"/>
    </row>
    <row r="201">
      <c r="B201" s="2"/>
      <c r="C201" s="2"/>
      <c r="D201" s="2"/>
      <c r="E201" s="2"/>
      <c r="F201" s="2"/>
      <c r="G201" s="2"/>
      <c r="L201" s="29"/>
    </row>
    <row r="202">
      <c r="B202" s="2"/>
      <c r="C202" s="2"/>
      <c r="D202" s="2"/>
      <c r="E202" s="2"/>
      <c r="F202" s="2"/>
      <c r="G202" s="2"/>
      <c r="L202" s="29"/>
    </row>
    <row r="203">
      <c r="B203" s="2"/>
      <c r="C203" s="2"/>
      <c r="D203" s="2"/>
      <c r="E203" s="2"/>
      <c r="F203" s="2"/>
      <c r="G203" s="2"/>
      <c r="L203" s="29"/>
    </row>
    <row r="204">
      <c r="B204" s="2"/>
      <c r="C204" s="2"/>
      <c r="D204" s="2"/>
      <c r="E204" s="2"/>
      <c r="F204" s="2"/>
      <c r="G204" s="2"/>
      <c r="L204" s="29"/>
    </row>
    <row r="205">
      <c r="B205" s="2"/>
      <c r="C205" s="2"/>
      <c r="D205" s="2"/>
      <c r="E205" s="2"/>
      <c r="F205" s="2"/>
      <c r="G205" s="2"/>
      <c r="L205" s="29"/>
    </row>
    <row r="206">
      <c r="B206" s="2"/>
      <c r="C206" s="2"/>
      <c r="D206" s="2"/>
      <c r="E206" s="2"/>
      <c r="F206" s="2"/>
      <c r="G206" s="2"/>
      <c r="L206" s="29"/>
    </row>
    <row r="207">
      <c r="B207" s="2"/>
      <c r="C207" s="2"/>
      <c r="D207" s="2"/>
      <c r="E207" s="2"/>
      <c r="F207" s="2"/>
      <c r="G207" s="2"/>
      <c r="L207" s="29"/>
    </row>
    <row r="208">
      <c r="B208" s="2"/>
      <c r="C208" s="2"/>
      <c r="D208" s="2"/>
      <c r="E208" s="2"/>
      <c r="F208" s="2"/>
      <c r="G208" s="2"/>
      <c r="L208" s="29"/>
    </row>
    <row r="209">
      <c r="B209" s="2"/>
      <c r="C209" s="2"/>
      <c r="D209" s="2"/>
      <c r="E209" s="2"/>
      <c r="F209" s="2"/>
      <c r="G209" s="2"/>
      <c r="L209" s="29"/>
    </row>
    <row r="210">
      <c r="B210" s="2"/>
      <c r="C210" s="2"/>
      <c r="D210" s="2"/>
      <c r="E210" s="2"/>
      <c r="F210" s="2"/>
      <c r="G210" s="2"/>
      <c r="L210" s="29"/>
    </row>
    <row r="211">
      <c r="B211" s="2"/>
      <c r="C211" s="2"/>
      <c r="D211" s="2"/>
      <c r="E211" s="2"/>
      <c r="F211" s="2"/>
      <c r="G211" s="2"/>
      <c r="L211" s="29"/>
    </row>
    <row r="212">
      <c r="B212" s="2"/>
      <c r="C212" s="2"/>
      <c r="D212" s="2"/>
      <c r="E212" s="2"/>
      <c r="F212" s="2"/>
      <c r="G212" s="2"/>
      <c r="L212" s="29"/>
    </row>
    <row r="213">
      <c r="B213" s="2"/>
      <c r="C213" s="2"/>
      <c r="D213" s="2"/>
      <c r="E213" s="2"/>
      <c r="F213" s="2"/>
      <c r="G213" s="2"/>
      <c r="L213" s="29"/>
    </row>
    <row r="214">
      <c r="B214" s="2"/>
      <c r="C214" s="2"/>
      <c r="D214" s="2"/>
      <c r="E214" s="2"/>
      <c r="F214" s="2"/>
      <c r="G214" s="2"/>
      <c r="L214" s="29"/>
    </row>
    <row r="215">
      <c r="B215" s="2"/>
      <c r="C215" s="2"/>
      <c r="D215" s="2"/>
      <c r="E215" s="2"/>
      <c r="F215" s="2"/>
      <c r="G215" s="2"/>
      <c r="L215" s="29"/>
    </row>
    <row r="216">
      <c r="B216" s="2"/>
      <c r="C216" s="2"/>
      <c r="D216" s="2"/>
      <c r="E216" s="2"/>
      <c r="F216" s="2"/>
      <c r="G216" s="2"/>
      <c r="L216" s="29"/>
    </row>
    <row r="217">
      <c r="B217" s="2"/>
      <c r="C217" s="2"/>
      <c r="D217" s="2"/>
      <c r="E217" s="2"/>
      <c r="F217" s="2"/>
      <c r="G217" s="2"/>
      <c r="L217" s="29"/>
    </row>
    <row r="218">
      <c r="B218" s="2"/>
      <c r="C218" s="2"/>
      <c r="D218" s="2"/>
      <c r="E218" s="2"/>
      <c r="F218" s="2"/>
      <c r="G218" s="2"/>
      <c r="L218" s="29"/>
    </row>
    <row r="219">
      <c r="B219" s="2"/>
      <c r="C219" s="2"/>
      <c r="D219" s="2"/>
      <c r="E219" s="2"/>
      <c r="F219" s="2"/>
      <c r="G219" s="2"/>
      <c r="L219" s="29"/>
    </row>
    <row r="220">
      <c r="B220" s="2"/>
      <c r="C220" s="2"/>
      <c r="D220" s="2"/>
      <c r="E220" s="2"/>
      <c r="F220" s="2"/>
      <c r="G220" s="2"/>
      <c r="L220" s="29"/>
    </row>
    <row r="221">
      <c r="B221" s="2"/>
      <c r="C221" s="2"/>
      <c r="D221" s="2"/>
      <c r="E221" s="2"/>
      <c r="F221" s="2"/>
      <c r="G221" s="2"/>
      <c r="L221" s="29"/>
    </row>
    <row r="222">
      <c r="B222" s="2"/>
      <c r="C222" s="2"/>
      <c r="D222" s="2"/>
      <c r="E222" s="2"/>
      <c r="F222" s="2"/>
      <c r="G222" s="2"/>
      <c r="L222" s="29"/>
    </row>
    <row r="223">
      <c r="B223" s="2"/>
      <c r="C223" s="2"/>
      <c r="D223" s="2"/>
      <c r="E223" s="2"/>
      <c r="F223" s="2"/>
      <c r="G223" s="2"/>
      <c r="L223" s="29"/>
    </row>
    <row r="224">
      <c r="B224" s="2"/>
      <c r="C224" s="2"/>
      <c r="D224" s="2"/>
      <c r="E224" s="2"/>
      <c r="F224" s="2"/>
      <c r="G224" s="2"/>
      <c r="L224" s="29"/>
    </row>
    <row r="225">
      <c r="B225" s="2"/>
      <c r="C225" s="2"/>
      <c r="D225" s="2"/>
      <c r="E225" s="2"/>
      <c r="F225" s="2"/>
      <c r="G225" s="2"/>
      <c r="L225" s="29"/>
    </row>
    <row r="226">
      <c r="B226" s="2"/>
      <c r="C226" s="2"/>
      <c r="D226" s="2"/>
      <c r="E226" s="2"/>
      <c r="F226" s="2"/>
      <c r="G226" s="2"/>
      <c r="L226" s="29"/>
    </row>
    <row r="227">
      <c r="B227" s="2"/>
      <c r="C227" s="2"/>
      <c r="D227" s="2"/>
      <c r="E227" s="2"/>
      <c r="F227" s="2"/>
      <c r="G227" s="2"/>
      <c r="L227" s="29"/>
    </row>
    <row r="228">
      <c r="B228" s="2"/>
      <c r="C228" s="2"/>
      <c r="D228" s="2"/>
      <c r="E228" s="2"/>
      <c r="F228" s="2"/>
      <c r="G228" s="2"/>
      <c r="L228" s="29"/>
    </row>
    <row r="229">
      <c r="B229" s="2"/>
      <c r="C229" s="2"/>
      <c r="D229" s="2"/>
      <c r="E229" s="2"/>
      <c r="F229" s="2"/>
      <c r="G229" s="2"/>
      <c r="L229" s="29"/>
    </row>
    <row r="230">
      <c r="B230" s="2"/>
      <c r="C230" s="2"/>
      <c r="D230" s="2"/>
      <c r="E230" s="2"/>
      <c r="F230" s="2"/>
      <c r="G230" s="2"/>
      <c r="L230" s="29"/>
    </row>
    <row r="231">
      <c r="B231" s="2"/>
      <c r="C231" s="2"/>
      <c r="D231" s="2"/>
      <c r="E231" s="2"/>
      <c r="F231" s="2"/>
      <c r="G231" s="2"/>
      <c r="L231" s="29"/>
    </row>
    <row r="232">
      <c r="B232" s="2"/>
      <c r="C232" s="2"/>
      <c r="D232" s="2"/>
      <c r="E232" s="2"/>
      <c r="F232" s="2"/>
      <c r="G232" s="2"/>
      <c r="L232" s="29"/>
    </row>
    <row r="233">
      <c r="B233" s="2"/>
      <c r="C233" s="2"/>
      <c r="D233" s="2"/>
      <c r="E233" s="2"/>
      <c r="F233" s="2"/>
      <c r="G233" s="2"/>
      <c r="L233" s="29"/>
    </row>
    <row r="234">
      <c r="B234" s="2"/>
      <c r="C234" s="2"/>
      <c r="D234" s="2"/>
      <c r="E234" s="2"/>
      <c r="F234" s="2"/>
      <c r="G234" s="2"/>
      <c r="L234" s="29"/>
    </row>
    <row r="235">
      <c r="B235" s="2"/>
      <c r="C235" s="2"/>
      <c r="D235" s="2"/>
      <c r="E235" s="2"/>
      <c r="F235" s="2"/>
      <c r="G235" s="2"/>
      <c r="L235" s="29"/>
    </row>
    <row r="236">
      <c r="B236" s="2"/>
      <c r="C236" s="2"/>
      <c r="D236" s="2"/>
      <c r="E236" s="2"/>
      <c r="F236" s="2"/>
      <c r="G236" s="2"/>
      <c r="L236" s="29"/>
    </row>
    <row r="237">
      <c r="B237" s="2"/>
      <c r="C237" s="2"/>
      <c r="D237" s="2"/>
      <c r="E237" s="2"/>
      <c r="F237" s="2"/>
      <c r="G237" s="2"/>
      <c r="L237" s="29"/>
    </row>
    <row r="238">
      <c r="B238" s="2"/>
      <c r="C238" s="2"/>
      <c r="D238" s="2"/>
      <c r="E238" s="2"/>
      <c r="F238" s="2"/>
      <c r="G238" s="2"/>
      <c r="L238" s="29"/>
    </row>
    <row r="239">
      <c r="B239" s="2"/>
      <c r="C239" s="2"/>
      <c r="D239" s="2"/>
      <c r="E239" s="2"/>
      <c r="F239" s="2"/>
      <c r="G239" s="2"/>
      <c r="L239" s="29"/>
    </row>
    <row r="240">
      <c r="B240" s="2"/>
      <c r="C240" s="2"/>
      <c r="D240" s="2"/>
      <c r="E240" s="2"/>
      <c r="F240" s="2"/>
      <c r="G240" s="2"/>
      <c r="L240" s="29"/>
    </row>
    <row r="241">
      <c r="B241" s="2"/>
      <c r="C241" s="2"/>
      <c r="D241" s="2"/>
      <c r="E241" s="2"/>
      <c r="F241" s="2"/>
      <c r="G241" s="2"/>
      <c r="L241" s="29"/>
    </row>
    <row r="242">
      <c r="B242" s="2"/>
      <c r="C242" s="2"/>
      <c r="D242" s="2"/>
      <c r="E242" s="2"/>
      <c r="F242" s="2"/>
      <c r="G242" s="2"/>
      <c r="L242" s="29"/>
    </row>
    <row r="243">
      <c r="B243" s="2"/>
      <c r="C243" s="2"/>
      <c r="D243" s="2"/>
      <c r="E243" s="2"/>
      <c r="F243" s="2"/>
      <c r="G243" s="2"/>
      <c r="L243" s="29"/>
    </row>
    <row r="244">
      <c r="B244" s="2"/>
      <c r="C244" s="2"/>
      <c r="D244" s="2"/>
      <c r="E244" s="2"/>
      <c r="F244" s="2"/>
      <c r="G244" s="2"/>
      <c r="L244" s="29"/>
    </row>
    <row r="245">
      <c r="B245" s="2"/>
      <c r="C245" s="2"/>
      <c r="D245" s="2"/>
      <c r="E245" s="2"/>
      <c r="F245" s="2"/>
      <c r="G245" s="2"/>
      <c r="L245" s="29"/>
    </row>
    <row r="246">
      <c r="B246" s="2"/>
      <c r="C246" s="2"/>
      <c r="D246" s="2"/>
      <c r="E246" s="2"/>
      <c r="F246" s="2"/>
      <c r="G246" s="2"/>
      <c r="L246" s="29"/>
    </row>
    <row r="247">
      <c r="B247" s="2"/>
      <c r="C247" s="2"/>
      <c r="D247" s="2"/>
      <c r="E247" s="2"/>
      <c r="F247" s="2"/>
      <c r="G247" s="2"/>
      <c r="L247" s="29"/>
    </row>
    <row r="248">
      <c r="B248" s="2"/>
      <c r="C248" s="2"/>
      <c r="D248" s="2"/>
      <c r="E248" s="2"/>
      <c r="F248" s="2"/>
      <c r="G248" s="2"/>
      <c r="L248" s="29"/>
    </row>
    <row r="249">
      <c r="B249" s="2"/>
      <c r="C249" s="2"/>
      <c r="D249" s="2"/>
      <c r="E249" s="2"/>
      <c r="F249" s="2"/>
      <c r="G249" s="2"/>
      <c r="L249" s="29"/>
    </row>
    <row r="250">
      <c r="B250" s="2"/>
      <c r="C250" s="2"/>
      <c r="D250" s="2"/>
      <c r="E250" s="2"/>
      <c r="F250" s="2"/>
      <c r="G250" s="2"/>
      <c r="L250" s="29"/>
    </row>
    <row r="251">
      <c r="B251" s="2"/>
      <c r="C251" s="2"/>
      <c r="D251" s="2"/>
      <c r="E251" s="2"/>
      <c r="F251" s="2"/>
      <c r="G251" s="2"/>
      <c r="L251" s="29"/>
    </row>
    <row r="252">
      <c r="B252" s="2"/>
      <c r="C252" s="2"/>
      <c r="D252" s="2"/>
      <c r="E252" s="2"/>
      <c r="F252" s="2"/>
      <c r="G252" s="2"/>
      <c r="L252" s="29"/>
    </row>
    <row r="253">
      <c r="B253" s="2"/>
      <c r="C253" s="2"/>
      <c r="D253" s="2"/>
      <c r="E253" s="2"/>
      <c r="F253" s="2"/>
      <c r="G253" s="2"/>
      <c r="L253" s="29"/>
    </row>
    <row r="254">
      <c r="B254" s="2"/>
      <c r="C254" s="2"/>
      <c r="D254" s="2"/>
      <c r="E254" s="2"/>
      <c r="F254" s="2"/>
      <c r="G254" s="2"/>
      <c r="L254" s="29"/>
    </row>
    <row r="255">
      <c r="B255" s="2"/>
      <c r="C255" s="2"/>
      <c r="D255" s="2"/>
      <c r="E255" s="2"/>
      <c r="F255" s="2"/>
      <c r="G255" s="2"/>
      <c r="L255" s="29"/>
    </row>
    <row r="256">
      <c r="B256" s="2"/>
      <c r="C256" s="2"/>
      <c r="D256" s="2"/>
      <c r="E256" s="2"/>
      <c r="F256" s="2"/>
      <c r="G256" s="2"/>
      <c r="L256" s="29"/>
    </row>
    <row r="257">
      <c r="B257" s="2"/>
      <c r="C257" s="2"/>
      <c r="D257" s="2"/>
      <c r="E257" s="2"/>
      <c r="F257" s="2"/>
      <c r="G257" s="2"/>
      <c r="L257" s="29"/>
    </row>
    <row r="258">
      <c r="B258" s="2"/>
      <c r="C258" s="2"/>
      <c r="D258" s="2"/>
      <c r="E258" s="2"/>
      <c r="F258" s="2"/>
      <c r="G258" s="2"/>
      <c r="L258" s="29"/>
    </row>
    <row r="259">
      <c r="B259" s="2"/>
      <c r="C259" s="2"/>
      <c r="D259" s="2"/>
      <c r="E259" s="2"/>
      <c r="F259" s="2"/>
      <c r="G259" s="2"/>
      <c r="L259" s="29"/>
    </row>
    <row r="260">
      <c r="B260" s="2"/>
      <c r="C260" s="2"/>
      <c r="D260" s="2"/>
      <c r="E260" s="2"/>
      <c r="F260" s="2"/>
      <c r="G260" s="2"/>
      <c r="L260" s="29"/>
    </row>
    <row r="261">
      <c r="B261" s="2"/>
      <c r="C261" s="2"/>
      <c r="D261" s="2"/>
      <c r="E261" s="2"/>
      <c r="F261" s="2"/>
      <c r="G261" s="2"/>
      <c r="L261" s="29"/>
    </row>
    <row r="262">
      <c r="B262" s="2"/>
      <c r="C262" s="2"/>
      <c r="D262" s="2"/>
      <c r="E262" s="2"/>
      <c r="F262" s="2"/>
      <c r="G262" s="2"/>
      <c r="L262" s="29"/>
    </row>
    <row r="263">
      <c r="B263" s="2"/>
      <c r="C263" s="2"/>
      <c r="D263" s="2"/>
      <c r="E263" s="2"/>
      <c r="F263" s="2"/>
      <c r="G263" s="2"/>
      <c r="L263" s="29"/>
    </row>
    <row r="264">
      <c r="B264" s="2"/>
      <c r="C264" s="2"/>
      <c r="D264" s="2"/>
      <c r="E264" s="2"/>
      <c r="F264" s="2"/>
      <c r="G264" s="2"/>
      <c r="L264" s="29"/>
    </row>
    <row r="265">
      <c r="B265" s="2"/>
      <c r="C265" s="2"/>
      <c r="D265" s="2"/>
      <c r="E265" s="2"/>
      <c r="F265" s="2"/>
      <c r="G265" s="2"/>
      <c r="L265" s="29"/>
    </row>
    <row r="266">
      <c r="B266" s="2"/>
      <c r="C266" s="2"/>
      <c r="D266" s="2"/>
      <c r="E266" s="2"/>
      <c r="F266" s="2"/>
      <c r="G266" s="2"/>
      <c r="L266" s="29"/>
    </row>
    <row r="267">
      <c r="B267" s="2"/>
      <c r="C267" s="2"/>
      <c r="D267" s="2"/>
      <c r="E267" s="2"/>
      <c r="F267" s="2"/>
      <c r="G267" s="2"/>
      <c r="L267" s="29"/>
    </row>
    <row r="268">
      <c r="B268" s="2"/>
      <c r="C268" s="2"/>
      <c r="D268" s="2"/>
      <c r="E268" s="2"/>
      <c r="F268" s="2"/>
      <c r="G268" s="2"/>
      <c r="L268" s="29"/>
    </row>
    <row r="269">
      <c r="B269" s="2"/>
      <c r="C269" s="2"/>
      <c r="D269" s="2"/>
      <c r="E269" s="2"/>
      <c r="F269" s="2"/>
      <c r="G269" s="2"/>
      <c r="L269" s="29"/>
    </row>
    <row r="270">
      <c r="B270" s="2"/>
      <c r="C270" s="2"/>
      <c r="D270" s="2"/>
      <c r="E270" s="2"/>
      <c r="F270" s="2"/>
      <c r="G270" s="2"/>
      <c r="L270" s="29"/>
    </row>
    <row r="271">
      <c r="B271" s="2"/>
      <c r="C271" s="2"/>
      <c r="D271" s="2"/>
      <c r="E271" s="2"/>
      <c r="F271" s="2"/>
      <c r="G271" s="2"/>
      <c r="L271" s="29"/>
    </row>
    <row r="272">
      <c r="B272" s="2"/>
      <c r="C272" s="2"/>
      <c r="D272" s="2"/>
      <c r="E272" s="2"/>
      <c r="F272" s="2"/>
      <c r="G272" s="2"/>
      <c r="L272" s="29"/>
    </row>
    <row r="273">
      <c r="B273" s="2"/>
      <c r="C273" s="2"/>
      <c r="D273" s="2"/>
      <c r="E273" s="2"/>
      <c r="F273" s="2"/>
      <c r="G273" s="2"/>
      <c r="L273" s="29"/>
    </row>
    <row r="274">
      <c r="B274" s="2"/>
      <c r="C274" s="2"/>
      <c r="D274" s="2"/>
      <c r="E274" s="2"/>
      <c r="F274" s="2"/>
      <c r="G274" s="2"/>
      <c r="L274" s="29"/>
    </row>
    <row r="275">
      <c r="B275" s="2"/>
      <c r="C275" s="2"/>
      <c r="D275" s="2"/>
      <c r="E275" s="2"/>
      <c r="F275" s="2"/>
      <c r="G275" s="2"/>
      <c r="L275" s="29"/>
    </row>
    <row r="276">
      <c r="B276" s="2"/>
      <c r="C276" s="2"/>
      <c r="D276" s="2"/>
      <c r="E276" s="2"/>
      <c r="F276" s="2"/>
      <c r="G276" s="2"/>
      <c r="L276" s="29"/>
    </row>
    <row r="277">
      <c r="B277" s="2"/>
      <c r="C277" s="2"/>
      <c r="D277" s="2"/>
      <c r="E277" s="2"/>
      <c r="F277" s="2"/>
      <c r="G277" s="2"/>
      <c r="L277" s="29"/>
    </row>
    <row r="278">
      <c r="B278" s="2"/>
      <c r="C278" s="2"/>
      <c r="D278" s="2"/>
      <c r="E278" s="2"/>
      <c r="F278" s="2"/>
      <c r="G278" s="2"/>
      <c r="L278" s="29"/>
    </row>
    <row r="279">
      <c r="B279" s="2"/>
      <c r="C279" s="2"/>
      <c r="D279" s="2"/>
      <c r="E279" s="2"/>
      <c r="F279" s="2"/>
      <c r="G279" s="2"/>
      <c r="L279" s="29"/>
    </row>
    <row r="280">
      <c r="B280" s="2"/>
      <c r="C280" s="2"/>
      <c r="D280" s="2"/>
      <c r="E280" s="2"/>
      <c r="F280" s="2"/>
      <c r="G280" s="2"/>
      <c r="L280" s="29"/>
    </row>
    <row r="281">
      <c r="B281" s="2"/>
      <c r="C281" s="2"/>
      <c r="D281" s="2"/>
      <c r="E281" s="2"/>
      <c r="F281" s="2"/>
      <c r="G281" s="2"/>
      <c r="L281" s="29"/>
    </row>
    <row r="282">
      <c r="B282" s="2"/>
      <c r="C282" s="2"/>
      <c r="D282" s="2"/>
      <c r="E282" s="2"/>
      <c r="F282" s="2"/>
      <c r="G282" s="2"/>
      <c r="L282" s="29"/>
    </row>
    <row r="283">
      <c r="B283" s="2"/>
      <c r="C283" s="2"/>
      <c r="D283" s="2"/>
      <c r="E283" s="2"/>
      <c r="F283" s="2"/>
      <c r="G283" s="2"/>
      <c r="L283" s="29"/>
    </row>
    <row r="284">
      <c r="B284" s="2"/>
      <c r="C284" s="2"/>
      <c r="D284" s="2"/>
      <c r="E284" s="2"/>
      <c r="F284" s="2"/>
      <c r="G284" s="2"/>
      <c r="L284" s="29"/>
    </row>
    <row r="285">
      <c r="B285" s="2"/>
      <c r="C285" s="2"/>
      <c r="D285" s="2"/>
      <c r="E285" s="2"/>
      <c r="F285" s="2"/>
      <c r="G285" s="2"/>
      <c r="L285" s="29"/>
    </row>
    <row r="286">
      <c r="B286" s="2"/>
      <c r="C286" s="2"/>
      <c r="D286" s="2"/>
      <c r="E286" s="2"/>
      <c r="F286" s="2"/>
      <c r="G286" s="2"/>
      <c r="L286" s="29"/>
    </row>
    <row r="287">
      <c r="B287" s="2"/>
      <c r="C287" s="2"/>
      <c r="D287" s="2"/>
      <c r="E287" s="2"/>
      <c r="F287" s="2"/>
      <c r="G287" s="2"/>
      <c r="L287" s="29"/>
    </row>
    <row r="288">
      <c r="B288" s="2"/>
      <c r="C288" s="2"/>
      <c r="D288" s="2"/>
      <c r="E288" s="2"/>
      <c r="F288" s="2"/>
      <c r="G288" s="2"/>
      <c r="L288" s="29"/>
    </row>
    <row r="289">
      <c r="B289" s="2"/>
      <c r="C289" s="2"/>
      <c r="D289" s="2"/>
      <c r="E289" s="2"/>
      <c r="F289" s="2"/>
      <c r="G289" s="2"/>
      <c r="L289" s="29"/>
    </row>
    <row r="290">
      <c r="B290" s="2"/>
      <c r="C290" s="2"/>
      <c r="D290" s="2"/>
      <c r="E290" s="2"/>
      <c r="F290" s="2"/>
      <c r="G290" s="2"/>
      <c r="L290" s="29"/>
    </row>
    <row r="291">
      <c r="B291" s="2"/>
      <c r="C291" s="2"/>
      <c r="D291" s="2"/>
      <c r="E291" s="2"/>
      <c r="F291" s="2"/>
      <c r="G291" s="2"/>
      <c r="L291" s="29"/>
    </row>
    <row r="292">
      <c r="B292" s="2"/>
      <c r="C292" s="2"/>
      <c r="D292" s="2"/>
      <c r="E292" s="2"/>
      <c r="F292" s="2"/>
      <c r="G292" s="2"/>
      <c r="L292" s="29"/>
    </row>
    <row r="293">
      <c r="B293" s="2"/>
      <c r="C293" s="2"/>
      <c r="D293" s="2"/>
      <c r="E293" s="2"/>
      <c r="F293" s="2"/>
      <c r="G293" s="2"/>
      <c r="L293" s="29"/>
    </row>
    <row r="294">
      <c r="B294" s="2"/>
      <c r="C294" s="2"/>
      <c r="D294" s="2"/>
      <c r="E294" s="2"/>
      <c r="F294" s="2"/>
      <c r="G294" s="2"/>
      <c r="L294" s="29"/>
    </row>
    <row r="295">
      <c r="B295" s="2"/>
      <c r="C295" s="2"/>
      <c r="D295" s="2"/>
      <c r="E295" s="2"/>
      <c r="F295" s="2"/>
      <c r="G295" s="2"/>
      <c r="L295" s="29"/>
    </row>
    <row r="296">
      <c r="B296" s="2"/>
      <c r="C296" s="2"/>
      <c r="D296" s="2"/>
      <c r="E296" s="2"/>
      <c r="F296" s="2"/>
      <c r="G296" s="2"/>
      <c r="L296" s="29"/>
    </row>
    <row r="297">
      <c r="B297" s="2"/>
      <c r="C297" s="2"/>
      <c r="D297" s="2"/>
      <c r="E297" s="2"/>
      <c r="F297" s="2"/>
      <c r="G297" s="2"/>
      <c r="L297" s="29"/>
    </row>
    <row r="298">
      <c r="B298" s="2"/>
      <c r="C298" s="2"/>
      <c r="D298" s="2"/>
      <c r="E298" s="2"/>
      <c r="F298" s="2"/>
      <c r="G298" s="2"/>
      <c r="L298" s="29"/>
    </row>
    <row r="299">
      <c r="B299" s="2"/>
      <c r="C299" s="2"/>
      <c r="D299" s="2"/>
      <c r="E299" s="2"/>
      <c r="F299" s="2"/>
      <c r="G299" s="2"/>
      <c r="L299" s="29"/>
    </row>
    <row r="300">
      <c r="B300" s="2"/>
      <c r="C300" s="2"/>
      <c r="D300" s="2"/>
      <c r="E300" s="2"/>
      <c r="F300" s="2"/>
      <c r="G300" s="2"/>
      <c r="L300" s="29"/>
    </row>
    <row r="301">
      <c r="B301" s="2"/>
      <c r="C301" s="2"/>
      <c r="D301" s="2"/>
      <c r="E301" s="2"/>
      <c r="F301" s="2"/>
      <c r="G301" s="2"/>
      <c r="L301" s="29"/>
    </row>
    <row r="302">
      <c r="B302" s="2"/>
      <c r="C302" s="2"/>
      <c r="D302" s="2"/>
      <c r="E302" s="2"/>
      <c r="F302" s="2"/>
      <c r="G302" s="2"/>
      <c r="L302" s="29"/>
    </row>
    <row r="303">
      <c r="B303" s="2"/>
      <c r="C303" s="2"/>
      <c r="D303" s="2"/>
      <c r="E303" s="2"/>
      <c r="F303" s="2"/>
      <c r="G303" s="2"/>
      <c r="L303" s="29"/>
    </row>
    <row r="304">
      <c r="B304" s="2"/>
      <c r="C304" s="2"/>
      <c r="D304" s="2"/>
      <c r="E304" s="2"/>
      <c r="F304" s="2"/>
      <c r="G304" s="2"/>
      <c r="L304" s="29"/>
    </row>
    <row r="305">
      <c r="B305" s="2"/>
      <c r="C305" s="2"/>
      <c r="D305" s="2"/>
      <c r="E305" s="2"/>
      <c r="F305" s="2"/>
      <c r="G305" s="2"/>
      <c r="L305" s="29"/>
    </row>
    <row r="306">
      <c r="B306" s="2"/>
      <c r="C306" s="2"/>
      <c r="D306" s="2"/>
      <c r="E306" s="2"/>
      <c r="F306" s="2"/>
      <c r="G306" s="2"/>
      <c r="L306" s="29"/>
    </row>
    <row r="307">
      <c r="B307" s="2"/>
      <c r="C307" s="2"/>
      <c r="D307" s="2"/>
      <c r="E307" s="2"/>
      <c r="F307" s="2"/>
      <c r="G307" s="2"/>
      <c r="L307" s="29"/>
    </row>
    <row r="308">
      <c r="B308" s="2"/>
      <c r="C308" s="2"/>
      <c r="D308" s="2"/>
      <c r="E308" s="2"/>
      <c r="F308" s="2"/>
      <c r="G308" s="2"/>
      <c r="L308" s="29"/>
    </row>
    <row r="309">
      <c r="B309" s="2"/>
      <c r="C309" s="2"/>
      <c r="D309" s="2"/>
      <c r="E309" s="2"/>
      <c r="F309" s="2"/>
      <c r="G309" s="2"/>
      <c r="L309" s="29"/>
    </row>
    <row r="310">
      <c r="B310" s="2"/>
      <c r="C310" s="2"/>
      <c r="D310" s="2"/>
      <c r="E310" s="2"/>
      <c r="F310" s="2"/>
      <c r="G310" s="2"/>
      <c r="L310" s="29"/>
    </row>
    <row r="311">
      <c r="B311" s="2"/>
      <c r="C311" s="2"/>
      <c r="D311" s="2"/>
      <c r="E311" s="2"/>
      <c r="F311" s="2"/>
      <c r="G311" s="2"/>
      <c r="L311" s="29"/>
    </row>
    <row r="312">
      <c r="B312" s="2"/>
      <c r="C312" s="2"/>
      <c r="D312" s="2"/>
      <c r="E312" s="2"/>
      <c r="F312" s="2"/>
      <c r="G312" s="2"/>
      <c r="L312" s="29"/>
    </row>
    <row r="313">
      <c r="B313" s="2"/>
      <c r="C313" s="2"/>
      <c r="D313" s="2"/>
      <c r="E313" s="2"/>
      <c r="F313" s="2"/>
      <c r="G313" s="2"/>
      <c r="L313" s="29"/>
    </row>
    <row r="314">
      <c r="B314" s="2"/>
      <c r="C314" s="2"/>
      <c r="D314" s="2"/>
      <c r="E314" s="2"/>
      <c r="F314" s="2"/>
      <c r="G314" s="2"/>
      <c r="L314" s="29"/>
    </row>
    <row r="315">
      <c r="B315" s="2"/>
      <c r="C315" s="2"/>
      <c r="D315" s="2"/>
      <c r="E315" s="2"/>
      <c r="F315" s="2"/>
      <c r="G315" s="2"/>
      <c r="L315" s="29"/>
    </row>
    <row r="316">
      <c r="B316" s="2"/>
      <c r="C316" s="2"/>
      <c r="D316" s="2"/>
      <c r="E316" s="2"/>
      <c r="F316" s="2"/>
      <c r="G316" s="2"/>
      <c r="L316" s="29"/>
    </row>
    <row r="317">
      <c r="B317" s="2"/>
      <c r="C317" s="2"/>
      <c r="D317" s="2"/>
      <c r="E317" s="2"/>
      <c r="F317" s="2"/>
      <c r="G317" s="2"/>
      <c r="L317" s="29"/>
    </row>
    <row r="318">
      <c r="B318" s="2"/>
      <c r="C318" s="2"/>
      <c r="D318" s="2"/>
      <c r="E318" s="2"/>
      <c r="F318" s="2"/>
      <c r="G318" s="2"/>
      <c r="L318" s="29"/>
    </row>
    <row r="319">
      <c r="B319" s="2"/>
      <c r="C319" s="2"/>
      <c r="D319" s="2"/>
      <c r="E319" s="2"/>
      <c r="F319" s="2"/>
      <c r="G319" s="2"/>
      <c r="L319" s="29"/>
    </row>
    <row r="320">
      <c r="B320" s="2"/>
      <c r="C320" s="2"/>
      <c r="D320" s="2"/>
      <c r="E320" s="2"/>
      <c r="F320" s="2"/>
      <c r="G320" s="2"/>
      <c r="L320" s="29"/>
    </row>
    <row r="321">
      <c r="B321" s="2"/>
      <c r="C321" s="2"/>
      <c r="D321" s="2"/>
      <c r="E321" s="2"/>
      <c r="F321" s="2"/>
      <c r="G321" s="2"/>
      <c r="L321" s="29"/>
    </row>
    <row r="322">
      <c r="B322" s="2"/>
      <c r="C322" s="2"/>
      <c r="D322" s="2"/>
      <c r="E322" s="2"/>
      <c r="F322" s="2"/>
      <c r="G322" s="2"/>
      <c r="L322" s="29"/>
    </row>
    <row r="323">
      <c r="B323" s="2"/>
      <c r="C323" s="2"/>
      <c r="D323" s="2"/>
      <c r="E323" s="2"/>
      <c r="F323" s="2"/>
      <c r="G323" s="2"/>
      <c r="L323" s="29"/>
    </row>
    <row r="324">
      <c r="B324" s="2"/>
      <c r="C324" s="2"/>
      <c r="D324" s="2"/>
      <c r="E324" s="2"/>
      <c r="F324" s="2"/>
      <c r="G324" s="2"/>
      <c r="L324" s="29"/>
    </row>
    <row r="325">
      <c r="B325" s="2"/>
      <c r="C325" s="2"/>
      <c r="D325" s="2"/>
      <c r="E325" s="2"/>
      <c r="F325" s="2"/>
      <c r="G325" s="2"/>
      <c r="L325" s="29"/>
    </row>
    <row r="326">
      <c r="B326" s="2"/>
      <c r="C326" s="2"/>
      <c r="D326" s="2"/>
      <c r="E326" s="2"/>
      <c r="F326" s="2"/>
      <c r="G326" s="2"/>
      <c r="L326" s="29"/>
    </row>
    <row r="327">
      <c r="B327" s="2"/>
      <c r="C327" s="2"/>
      <c r="D327" s="2"/>
      <c r="E327" s="2"/>
      <c r="F327" s="2"/>
      <c r="G327" s="2"/>
      <c r="L327" s="29"/>
    </row>
    <row r="328">
      <c r="B328" s="2"/>
      <c r="C328" s="2"/>
      <c r="D328" s="2"/>
      <c r="E328" s="2"/>
      <c r="F328" s="2"/>
      <c r="G328" s="2"/>
      <c r="L328" s="29"/>
    </row>
    <row r="329">
      <c r="B329" s="2"/>
      <c r="C329" s="2"/>
      <c r="D329" s="2"/>
      <c r="E329" s="2"/>
      <c r="F329" s="2"/>
      <c r="G329" s="2"/>
      <c r="L329" s="29"/>
    </row>
    <row r="330">
      <c r="B330" s="2"/>
      <c r="C330" s="2"/>
      <c r="D330" s="2"/>
      <c r="E330" s="2"/>
      <c r="F330" s="2"/>
      <c r="G330" s="2"/>
      <c r="L330" s="29"/>
    </row>
    <row r="331">
      <c r="B331" s="2"/>
      <c r="C331" s="2"/>
      <c r="D331" s="2"/>
      <c r="E331" s="2"/>
      <c r="F331" s="2"/>
      <c r="G331" s="2"/>
      <c r="L331" s="29"/>
    </row>
    <row r="332">
      <c r="B332" s="2"/>
      <c r="C332" s="2"/>
      <c r="D332" s="2"/>
      <c r="E332" s="2"/>
      <c r="F332" s="2"/>
      <c r="G332" s="2"/>
      <c r="L332" s="29"/>
    </row>
    <row r="333">
      <c r="B333" s="2"/>
      <c r="C333" s="2"/>
      <c r="D333" s="2"/>
      <c r="E333" s="2"/>
      <c r="F333" s="2"/>
      <c r="G333" s="2"/>
      <c r="L333" s="29"/>
    </row>
    <row r="334">
      <c r="B334" s="2"/>
      <c r="C334" s="2"/>
      <c r="D334" s="2"/>
      <c r="E334" s="2"/>
      <c r="F334" s="2"/>
      <c r="G334" s="2"/>
      <c r="L334" s="29"/>
    </row>
    <row r="335">
      <c r="B335" s="2"/>
      <c r="C335" s="2"/>
      <c r="D335" s="2"/>
      <c r="E335" s="2"/>
      <c r="F335" s="2"/>
      <c r="G335" s="2"/>
      <c r="L335" s="29"/>
    </row>
    <row r="336">
      <c r="B336" s="2"/>
      <c r="C336" s="2"/>
      <c r="D336" s="2"/>
      <c r="E336" s="2"/>
      <c r="F336" s="2"/>
      <c r="G336" s="2"/>
      <c r="L336" s="29"/>
    </row>
    <row r="337">
      <c r="B337" s="2"/>
      <c r="C337" s="2"/>
      <c r="D337" s="2"/>
      <c r="E337" s="2"/>
      <c r="F337" s="2"/>
      <c r="G337" s="2"/>
      <c r="L337" s="29"/>
    </row>
    <row r="338">
      <c r="B338" s="2"/>
      <c r="C338" s="2"/>
      <c r="D338" s="2"/>
      <c r="E338" s="2"/>
      <c r="F338" s="2"/>
      <c r="G338" s="2"/>
      <c r="L338" s="29"/>
    </row>
    <row r="339">
      <c r="B339" s="2"/>
      <c r="C339" s="2"/>
      <c r="D339" s="2"/>
      <c r="E339" s="2"/>
      <c r="F339" s="2"/>
      <c r="G339" s="2"/>
      <c r="L339" s="29"/>
    </row>
    <row r="340">
      <c r="B340" s="2"/>
      <c r="C340" s="2"/>
      <c r="D340" s="2"/>
      <c r="E340" s="2"/>
      <c r="F340" s="2"/>
      <c r="G340" s="2"/>
      <c r="L340" s="29"/>
    </row>
    <row r="341">
      <c r="B341" s="2"/>
      <c r="C341" s="2"/>
      <c r="D341" s="2"/>
      <c r="E341" s="2"/>
      <c r="F341" s="2"/>
      <c r="G341" s="2"/>
      <c r="L341" s="29"/>
    </row>
    <row r="342">
      <c r="B342" s="2"/>
      <c r="C342" s="2"/>
      <c r="D342" s="2"/>
      <c r="E342" s="2"/>
      <c r="F342" s="2"/>
      <c r="G342" s="2"/>
      <c r="L342" s="29"/>
    </row>
    <row r="343">
      <c r="B343" s="2"/>
      <c r="C343" s="2"/>
      <c r="D343" s="2"/>
      <c r="E343" s="2"/>
      <c r="F343" s="2"/>
      <c r="G343" s="2"/>
      <c r="L343" s="29"/>
    </row>
    <row r="344">
      <c r="B344" s="2"/>
      <c r="C344" s="2"/>
      <c r="D344" s="2"/>
      <c r="E344" s="2"/>
      <c r="F344" s="2"/>
      <c r="G344" s="2"/>
      <c r="L344" s="29"/>
    </row>
    <row r="345">
      <c r="B345" s="2"/>
      <c r="C345" s="2"/>
      <c r="D345" s="2"/>
      <c r="E345" s="2"/>
      <c r="F345" s="2"/>
      <c r="G345" s="2"/>
      <c r="L345" s="29"/>
    </row>
    <row r="346">
      <c r="B346" s="2"/>
      <c r="C346" s="2"/>
      <c r="D346" s="2"/>
      <c r="E346" s="2"/>
      <c r="F346" s="2"/>
      <c r="G346" s="2"/>
      <c r="L346" s="29"/>
    </row>
    <row r="347">
      <c r="B347" s="2"/>
      <c r="C347" s="2"/>
      <c r="D347" s="2"/>
      <c r="E347" s="2"/>
      <c r="F347" s="2"/>
      <c r="G347" s="2"/>
      <c r="L347" s="29"/>
    </row>
    <row r="348">
      <c r="B348" s="2"/>
      <c r="C348" s="2"/>
      <c r="D348" s="2"/>
      <c r="E348" s="2"/>
      <c r="F348" s="2"/>
      <c r="G348" s="2"/>
      <c r="L348" s="29"/>
    </row>
    <row r="349">
      <c r="B349" s="2"/>
      <c r="C349" s="2"/>
      <c r="D349" s="2"/>
      <c r="E349" s="2"/>
      <c r="F349" s="2"/>
      <c r="G349" s="2"/>
      <c r="L349" s="29"/>
    </row>
    <row r="350">
      <c r="B350" s="2"/>
      <c r="C350" s="2"/>
      <c r="D350" s="2"/>
      <c r="E350" s="2"/>
      <c r="F350" s="2"/>
      <c r="G350" s="2"/>
      <c r="L350" s="29"/>
    </row>
    <row r="351">
      <c r="B351" s="2"/>
      <c r="C351" s="2"/>
      <c r="D351" s="2"/>
      <c r="E351" s="2"/>
      <c r="F351" s="2"/>
      <c r="G351" s="2"/>
      <c r="L351" s="29"/>
    </row>
    <row r="352">
      <c r="B352" s="2"/>
      <c r="C352" s="2"/>
      <c r="D352" s="2"/>
      <c r="E352" s="2"/>
      <c r="F352" s="2"/>
      <c r="G352" s="2"/>
      <c r="L352" s="29"/>
    </row>
    <row r="353">
      <c r="B353" s="2"/>
      <c r="C353" s="2"/>
      <c r="D353" s="2"/>
      <c r="E353" s="2"/>
      <c r="F353" s="2"/>
      <c r="G353" s="2"/>
      <c r="L353" s="29"/>
    </row>
    <row r="354">
      <c r="B354" s="2"/>
      <c r="C354" s="2"/>
      <c r="D354" s="2"/>
      <c r="E354" s="2"/>
      <c r="F354" s="2"/>
      <c r="G354" s="2"/>
      <c r="L354" s="29"/>
    </row>
    <row r="355">
      <c r="B355" s="2"/>
      <c r="C355" s="2"/>
      <c r="D355" s="2"/>
      <c r="E355" s="2"/>
      <c r="F355" s="2"/>
      <c r="G355" s="2"/>
      <c r="L355" s="29"/>
    </row>
    <row r="356">
      <c r="B356" s="2"/>
      <c r="C356" s="2"/>
      <c r="D356" s="2"/>
      <c r="E356" s="2"/>
      <c r="F356" s="2"/>
      <c r="G356" s="2"/>
      <c r="L356" s="29"/>
    </row>
    <row r="357">
      <c r="B357" s="2"/>
      <c r="C357" s="2"/>
      <c r="D357" s="2"/>
      <c r="E357" s="2"/>
      <c r="F357" s="2"/>
      <c r="G357" s="2"/>
      <c r="L357" s="29"/>
    </row>
    <row r="358">
      <c r="B358" s="2"/>
      <c r="C358" s="2"/>
      <c r="D358" s="2"/>
      <c r="E358" s="2"/>
      <c r="F358" s="2"/>
      <c r="G358" s="2"/>
      <c r="L358" s="29"/>
    </row>
    <row r="359">
      <c r="B359" s="2"/>
      <c r="C359" s="2"/>
      <c r="D359" s="2"/>
      <c r="E359" s="2"/>
      <c r="F359" s="2"/>
      <c r="G359" s="2"/>
      <c r="L359" s="29"/>
    </row>
    <row r="360">
      <c r="B360" s="2"/>
      <c r="C360" s="2"/>
      <c r="D360" s="2"/>
      <c r="E360" s="2"/>
      <c r="F360" s="2"/>
      <c r="G360" s="2"/>
      <c r="L360" s="29"/>
    </row>
    <row r="361">
      <c r="B361" s="2"/>
      <c r="C361" s="2"/>
      <c r="D361" s="2"/>
      <c r="E361" s="2"/>
      <c r="F361" s="2"/>
      <c r="G361" s="2"/>
      <c r="L361" s="29"/>
    </row>
    <row r="362">
      <c r="B362" s="2"/>
      <c r="C362" s="2"/>
      <c r="D362" s="2"/>
      <c r="E362" s="2"/>
      <c r="F362" s="2"/>
      <c r="G362" s="2"/>
      <c r="L362" s="29"/>
    </row>
    <row r="363">
      <c r="B363" s="2"/>
      <c r="C363" s="2"/>
      <c r="D363" s="2"/>
      <c r="E363" s="2"/>
      <c r="F363" s="2"/>
      <c r="G363" s="2"/>
      <c r="L363" s="29"/>
    </row>
    <row r="364">
      <c r="B364" s="2"/>
      <c r="C364" s="2"/>
      <c r="D364" s="2"/>
      <c r="E364" s="2"/>
      <c r="F364" s="2"/>
      <c r="G364" s="2"/>
      <c r="L364" s="29"/>
    </row>
    <row r="365">
      <c r="B365" s="2"/>
      <c r="C365" s="2"/>
      <c r="D365" s="2"/>
      <c r="E365" s="2"/>
      <c r="F365" s="2"/>
      <c r="G365" s="2"/>
      <c r="L365" s="29"/>
    </row>
    <row r="366">
      <c r="B366" s="2"/>
      <c r="C366" s="2"/>
      <c r="D366" s="2"/>
      <c r="E366" s="2"/>
      <c r="F366" s="2"/>
      <c r="G366" s="2"/>
      <c r="L366" s="29"/>
    </row>
    <row r="367">
      <c r="B367" s="2"/>
      <c r="C367" s="2"/>
      <c r="D367" s="2"/>
      <c r="E367" s="2"/>
      <c r="F367" s="2"/>
      <c r="G367" s="2"/>
      <c r="L367" s="29"/>
    </row>
    <row r="368">
      <c r="B368" s="2"/>
      <c r="C368" s="2"/>
      <c r="D368" s="2"/>
      <c r="E368" s="2"/>
      <c r="F368" s="2"/>
      <c r="G368" s="2"/>
      <c r="L368" s="29"/>
    </row>
    <row r="369">
      <c r="B369" s="2"/>
      <c r="C369" s="2"/>
      <c r="D369" s="2"/>
      <c r="E369" s="2"/>
      <c r="F369" s="2"/>
      <c r="G369" s="2"/>
      <c r="L369" s="29"/>
    </row>
    <row r="370">
      <c r="B370" s="2"/>
      <c r="C370" s="2"/>
      <c r="D370" s="2"/>
      <c r="E370" s="2"/>
      <c r="F370" s="2"/>
      <c r="G370" s="2"/>
      <c r="L370" s="29"/>
    </row>
    <row r="371">
      <c r="B371" s="2"/>
      <c r="C371" s="2"/>
      <c r="D371" s="2"/>
      <c r="E371" s="2"/>
      <c r="F371" s="2"/>
      <c r="G371" s="2"/>
      <c r="L371" s="29"/>
    </row>
    <row r="372">
      <c r="B372" s="2"/>
      <c r="C372" s="2"/>
      <c r="D372" s="2"/>
      <c r="E372" s="2"/>
      <c r="F372" s="2"/>
      <c r="G372" s="2"/>
      <c r="L372" s="29"/>
    </row>
    <row r="373">
      <c r="B373" s="2"/>
      <c r="C373" s="2"/>
      <c r="D373" s="2"/>
      <c r="E373" s="2"/>
      <c r="F373" s="2"/>
      <c r="G373" s="2"/>
      <c r="L373" s="29"/>
    </row>
    <row r="374">
      <c r="B374" s="2"/>
      <c r="C374" s="2"/>
      <c r="D374" s="2"/>
      <c r="E374" s="2"/>
      <c r="F374" s="2"/>
      <c r="G374" s="2"/>
      <c r="L374" s="29"/>
    </row>
    <row r="375">
      <c r="B375" s="2"/>
      <c r="C375" s="2"/>
      <c r="D375" s="2"/>
      <c r="E375" s="2"/>
      <c r="F375" s="2"/>
      <c r="G375" s="2"/>
      <c r="L375" s="29"/>
    </row>
    <row r="376">
      <c r="B376" s="2"/>
      <c r="C376" s="2"/>
      <c r="D376" s="2"/>
      <c r="E376" s="2"/>
      <c r="F376" s="2"/>
      <c r="G376" s="2"/>
      <c r="L376" s="29"/>
    </row>
    <row r="377">
      <c r="B377" s="2"/>
      <c r="C377" s="2"/>
      <c r="D377" s="2"/>
      <c r="E377" s="2"/>
      <c r="F377" s="2"/>
      <c r="G377" s="2"/>
      <c r="L377" s="29"/>
    </row>
    <row r="378">
      <c r="B378" s="2"/>
      <c r="C378" s="2"/>
      <c r="D378" s="2"/>
      <c r="E378" s="2"/>
      <c r="F378" s="2"/>
      <c r="G378" s="2"/>
      <c r="L378" s="29"/>
    </row>
    <row r="379">
      <c r="B379" s="2"/>
      <c r="C379" s="2"/>
      <c r="D379" s="2"/>
      <c r="E379" s="2"/>
      <c r="F379" s="2"/>
      <c r="G379" s="2"/>
      <c r="L379" s="29"/>
    </row>
    <row r="380">
      <c r="B380" s="2"/>
      <c r="C380" s="2"/>
      <c r="D380" s="2"/>
      <c r="E380" s="2"/>
      <c r="F380" s="2"/>
      <c r="G380" s="2"/>
      <c r="L380" s="29"/>
    </row>
    <row r="381">
      <c r="B381" s="2"/>
      <c r="C381" s="2"/>
      <c r="D381" s="2"/>
      <c r="E381" s="2"/>
      <c r="F381" s="2"/>
      <c r="G381" s="2"/>
      <c r="L381" s="29"/>
    </row>
    <row r="382">
      <c r="B382" s="2"/>
      <c r="C382" s="2"/>
      <c r="D382" s="2"/>
      <c r="E382" s="2"/>
      <c r="F382" s="2"/>
      <c r="G382" s="2"/>
      <c r="L382" s="29"/>
    </row>
    <row r="383">
      <c r="B383" s="2"/>
      <c r="C383" s="2"/>
      <c r="D383" s="2"/>
      <c r="E383" s="2"/>
      <c r="F383" s="2"/>
      <c r="G383" s="2"/>
      <c r="L383" s="29"/>
    </row>
    <row r="384">
      <c r="B384" s="2"/>
      <c r="C384" s="2"/>
      <c r="D384" s="2"/>
      <c r="E384" s="2"/>
      <c r="F384" s="2"/>
      <c r="G384" s="2"/>
      <c r="L384" s="29"/>
    </row>
    <row r="385">
      <c r="B385" s="2"/>
      <c r="C385" s="2"/>
      <c r="D385" s="2"/>
      <c r="E385" s="2"/>
      <c r="F385" s="2"/>
      <c r="G385" s="2"/>
      <c r="L385" s="29"/>
    </row>
    <row r="386">
      <c r="B386" s="2"/>
      <c r="C386" s="2"/>
      <c r="D386" s="2"/>
      <c r="E386" s="2"/>
      <c r="F386" s="2"/>
      <c r="G386" s="2"/>
      <c r="L386" s="29"/>
    </row>
    <row r="387">
      <c r="B387" s="2"/>
      <c r="C387" s="2"/>
      <c r="D387" s="2"/>
      <c r="E387" s="2"/>
      <c r="F387" s="2"/>
      <c r="G387" s="2"/>
      <c r="L387" s="29"/>
    </row>
    <row r="388">
      <c r="B388" s="2"/>
      <c r="C388" s="2"/>
      <c r="D388" s="2"/>
      <c r="E388" s="2"/>
      <c r="F388" s="2"/>
      <c r="G388" s="2"/>
      <c r="L388" s="29"/>
    </row>
    <row r="389">
      <c r="B389" s="2"/>
      <c r="C389" s="2"/>
      <c r="D389" s="2"/>
      <c r="E389" s="2"/>
      <c r="F389" s="2"/>
      <c r="G389" s="2"/>
      <c r="L389" s="29"/>
    </row>
    <row r="390">
      <c r="B390" s="2"/>
      <c r="C390" s="2"/>
      <c r="D390" s="2"/>
      <c r="E390" s="2"/>
      <c r="F390" s="2"/>
      <c r="G390" s="2"/>
      <c r="L390" s="29"/>
    </row>
    <row r="391">
      <c r="B391" s="2"/>
      <c r="C391" s="2"/>
      <c r="D391" s="2"/>
      <c r="E391" s="2"/>
      <c r="F391" s="2"/>
      <c r="G391" s="2"/>
      <c r="L391" s="29"/>
    </row>
    <row r="392">
      <c r="B392" s="2"/>
      <c r="C392" s="2"/>
      <c r="D392" s="2"/>
      <c r="E392" s="2"/>
      <c r="F392" s="2"/>
      <c r="G392" s="2"/>
      <c r="L392" s="29"/>
    </row>
    <row r="393">
      <c r="B393" s="2"/>
      <c r="C393" s="2"/>
      <c r="D393" s="2"/>
      <c r="E393" s="2"/>
      <c r="F393" s="2"/>
      <c r="G393" s="2"/>
      <c r="L393" s="29"/>
    </row>
    <row r="394">
      <c r="B394" s="2"/>
      <c r="C394" s="2"/>
      <c r="D394" s="2"/>
      <c r="E394" s="2"/>
      <c r="F394" s="2"/>
      <c r="G394" s="2"/>
      <c r="L394" s="29"/>
    </row>
    <row r="395">
      <c r="B395" s="2"/>
      <c r="C395" s="2"/>
      <c r="D395" s="2"/>
      <c r="E395" s="2"/>
      <c r="F395" s="2"/>
      <c r="G395" s="2"/>
      <c r="L395" s="29"/>
    </row>
    <row r="396">
      <c r="B396" s="2"/>
      <c r="C396" s="2"/>
      <c r="D396" s="2"/>
      <c r="E396" s="2"/>
      <c r="F396" s="2"/>
      <c r="G396" s="2"/>
      <c r="L396" s="29"/>
    </row>
    <row r="397">
      <c r="B397" s="2"/>
      <c r="C397" s="2"/>
      <c r="D397" s="2"/>
      <c r="E397" s="2"/>
      <c r="F397" s="2"/>
      <c r="G397" s="2"/>
      <c r="L397" s="29"/>
    </row>
    <row r="398">
      <c r="B398" s="2"/>
      <c r="C398" s="2"/>
      <c r="D398" s="2"/>
      <c r="E398" s="2"/>
      <c r="F398" s="2"/>
      <c r="G398" s="2"/>
      <c r="L398" s="29"/>
    </row>
    <row r="399">
      <c r="B399" s="2"/>
      <c r="C399" s="2"/>
      <c r="D399" s="2"/>
      <c r="E399" s="2"/>
      <c r="F399" s="2"/>
      <c r="G399" s="2"/>
      <c r="L399" s="29"/>
    </row>
    <row r="400">
      <c r="B400" s="2"/>
      <c r="C400" s="2"/>
      <c r="D400" s="2"/>
      <c r="E400" s="2"/>
      <c r="F400" s="2"/>
      <c r="G400" s="2"/>
      <c r="L400" s="29"/>
    </row>
    <row r="401">
      <c r="B401" s="2"/>
      <c r="C401" s="2"/>
      <c r="D401" s="2"/>
      <c r="E401" s="2"/>
      <c r="F401" s="2"/>
      <c r="G401" s="2"/>
      <c r="L401" s="29"/>
    </row>
    <row r="402">
      <c r="B402" s="2"/>
      <c r="C402" s="2"/>
      <c r="D402" s="2"/>
      <c r="E402" s="2"/>
      <c r="F402" s="2"/>
      <c r="G402" s="2"/>
      <c r="L402" s="29"/>
    </row>
    <row r="403">
      <c r="B403" s="2"/>
      <c r="C403" s="2"/>
      <c r="D403" s="2"/>
      <c r="E403" s="2"/>
      <c r="F403" s="2"/>
      <c r="G403" s="2"/>
      <c r="L403" s="29"/>
    </row>
    <row r="404">
      <c r="B404" s="2"/>
      <c r="C404" s="2"/>
      <c r="D404" s="2"/>
      <c r="E404" s="2"/>
      <c r="F404" s="2"/>
      <c r="G404" s="2"/>
      <c r="L404" s="29"/>
    </row>
    <row r="405">
      <c r="B405" s="2"/>
      <c r="C405" s="2"/>
      <c r="D405" s="2"/>
      <c r="E405" s="2"/>
      <c r="F405" s="2"/>
      <c r="G405" s="2"/>
      <c r="L405" s="29"/>
    </row>
    <row r="406">
      <c r="B406" s="2"/>
      <c r="C406" s="2"/>
      <c r="D406" s="2"/>
      <c r="E406" s="2"/>
      <c r="F406" s="2"/>
      <c r="G406" s="2"/>
      <c r="L406" s="29"/>
    </row>
    <row r="407">
      <c r="B407" s="2"/>
      <c r="C407" s="2"/>
      <c r="D407" s="2"/>
      <c r="E407" s="2"/>
      <c r="F407" s="2"/>
      <c r="G407" s="2"/>
      <c r="L407" s="29"/>
    </row>
    <row r="408">
      <c r="B408" s="2"/>
      <c r="C408" s="2"/>
      <c r="D408" s="2"/>
      <c r="E408" s="2"/>
      <c r="F408" s="2"/>
      <c r="G408" s="2"/>
      <c r="L408" s="29"/>
    </row>
    <row r="409">
      <c r="B409" s="2"/>
      <c r="C409" s="2"/>
      <c r="D409" s="2"/>
      <c r="E409" s="2"/>
      <c r="F409" s="2"/>
      <c r="G409" s="2"/>
      <c r="L409" s="29"/>
    </row>
    <row r="410">
      <c r="B410" s="2"/>
      <c r="C410" s="2"/>
      <c r="D410" s="2"/>
      <c r="E410" s="2"/>
      <c r="F410" s="2"/>
      <c r="G410" s="2"/>
      <c r="L410" s="29"/>
    </row>
    <row r="411">
      <c r="B411" s="2"/>
      <c r="C411" s="2"/>
      <c r="D411" s="2"/>
      <c r="E411" s="2"/>
      <c r="F411" s="2"/>
      <c r="G411" s="2"/>
      <c r="L411" s="29"/>
    </row>
    <row r="412">
      <c r="B412" s="2"/>
      <c r="C412" s="2"/>
      <c r="D412" s="2"/>
      <c r="E412" s="2"/>
      <c r="F412" s="2"/>
      <c r="G412" s="2"/>
      <c r="L412" s="29"/>
    </row>
    <row r="413">
      <c r="B413" s="2"/>
      <c r="C413" s="2"/>
      <c r="D413" s="2"/>
      <c r="E413" s="2"/>
      <c r="F413" s="2"/>
      <c r="G413" s="2"/>
      <c r="L413" s="29"/>
    </row>
    <row r="414">
      <c r="B414" s="2"/>
      <c r="C414" s="2"/>
      <c r="D414" s="2"/>
      <c r="E414" s="2"/>
      <c r="F414" s="2"/>
      <c r="G414" s="2"/>
      <c r="L414" s="29"/>
    </row>
    <row r="415">
      <c r="B415" s="2"/>
      <c r="C415" s="2"/>
      <c r="D415" s="2"/>
      <c r="E415" s="2"/>
      <c r="F415" s="2"/>
      <c r="G415" s="2"/>
      <c r="L415" s="29"/>
    </row>
    <row r="416">
      <c r="B416" s="2"/>
      <c r="C416" s="2"/>
      <c r="D416" s="2"/>
      <c r="E416" s="2"/>
      <c r="F416" s="2"/>
      <c r="G416" s="2"/>
      <c r="L416" s="29"/>
    </row>
    <row r="417">
      <c r="B417" s="2"/>
      <c r="C417" s="2"/>
      <c r="D417" s="2"/>
      <c r="E417" s="2"/>
      <c r="F417" s="2"/>
      <c r="G417" s="2"/>
      <c r="L417" s="29"/>
    </row>
    <row r="418">
      <c r="B418" s="2"/>
      <c r="C418" s="2"/>
      <c r="D418" s="2"/>
      <c r="E418" s="2"/>
      <c r="F418" s="2"/>
      <c r="G418" s="2"/>
      <c r="L418" s="29"/>
    </row>
    <row r="419">
      <c r="B419" s="2"/>
      <c r="C419" s="2"/>
      <c r="D419" s="2"/>
      <c r="E419" s="2"/>
      <c r="F419" s="2"/>
      <c r="G419" s="2"/>
      <c r="L419" s="29"/>
    </row>
    <row r="420">
      <c r="B420" s="2"/>
      <c r="C420" s="2"/>
      <c r="D420" s="2"/>
      <c r="E420" s="2"/>
      <c r="F420" s="2"/>
      <c r="G420" s="2"/>
      <c r="L420" s="29"/>
    </row>
    <row r="421">
      <c r="B421" s="2"/>
      <c r="C421" s="2"/>
      <c r="D421" s="2"/>
      <c r="E421" s="2"/>
      <c r="F421" s="2"/>
      <c r="G421" s="2"/>
      <c r="L421" s="29"/>
    </row>
    <row r="422">
      <c r="B422" s="2"/>
      <c r="C422" s="2"/>
      <c r="D422" s="2"/>
      <c r="E422" s="2"/>
      <c r="F422" s="2"/>
      <c r="G422" s="2"/>
      <c r="L422" s="29"/>
    </row>
    <row r="423">
      <c r="B423" s="2"/>
      <c r="C423" s="2"/>
      <c r="D423" s="2"/>
      <c r="E423" s="2"/>
      <c r="F423" s="2"/>
      <c r="G423" s="2"/>
      <c r="L423" s="29"/>
    </row>
    <row r="424">
      <c r="B424" s="2"/>
      <c r="C424" s="2"/>
      <c r="D424" s="2"/>
      <c r="E424" s="2"/>
      <c r="F424" s="2"/>
      <c r="G424" s="2"/>
      <c r="L424" s="29"/>
    </row>
    <row r="425">
      <c r="B425" s="2"/>
      <c r="C425" s="2"/>
      <c r="D425" s="2"/>
      <c r="E425" s="2"/>
      <c r="F425" s="2"/>
      <c r="G425" s="2"/>
      <c r="L425" s="29"/>
    </row>
    <row r="426">
      <c r="B426" s="2"/>
      <c r="C426" s="2"/>
      <c r="D426" s="2"/>
      <c r="E426" s="2"/>
      <c r="F426" s="2"/>
      <c r="G426" s="2"/>
      <c r="L426" s="29"/>
    </row>
    <row r="427">
      <c r="B427" s="2"/>
      <c r="C427" s="2"/>
      <c r="D427" s="2"/>
      <c r="E427" s="2"/>
      <c r="F427" s="2"/>
      <c r="G427" s="2"/>
      <c r="L427" s="29"/>
    </row>
    <row r="428">
      <c r="B428" s="2"/>
      <c r="C428" s="2"/>
      <c r="D428" s="2"/>
      <c r="E428" s="2"/>
      <c r="F428" s="2"/>
      <c r="G428" s="2"/>
      <c r="L428" s="29"/>
    </row>
    <row r="429">
      <c r="B429" s="2"/>
      <c r="C429" s="2"/>
      <c r="D429" s="2"/>
      <c r="E429" s="2"/>
      <c r="F429" s="2"/>
      <c r="G429" s="2"/>
      <c r="L429" s="29"/>
    </row>
    <row r="430">
      <c r="B430" s="2"/>
      <c r="C430" s="2"/>
      <c r="D430" s="2"/>
      <c r="E430" s="2"/>
      <c r="F430" s="2"/>
      <c r="G430" s="2"/>
      <c r="L430" s="29"/>
    </row>
    <row r="431">
      <c r="B431" s="2"/>
      <c r="C431" s="2"/>
      <c r="D431" s="2"/>
      <c r="E431" s="2"/>
      <c r="F431" s="2"/>
      <c r="G431" s="2"/>
      <c r="L431" s="29"/>
    </row>
    <row r="432">
      <c r="B432" s="2"/>
      <c r="C432" s="2"/>
      <c r="D432" s="2"/>
      <c r="E432" s="2"/>
      <c r="F432" s="2"/>
      <c r="G432" s="2"/>
      <c r="L432" s="29"/>
    </row>
    <row r="433">
      <c r="B433" s="2"/>
      <c r="C433" s="2"/>
      <c r="D433" s="2"/>
      <c r="E433" s="2"/>
      <c r="F433" s="2"/>
      <c r="G433" s="2"/>
      <c r="L433" s="29"/>
    </row>
    <row r="434">
      <c r="B434" s="2"/>
      <c r="C434" s="2"/>
      <c r="D434" s="2"/>
      <c r="E434" s="2"/>
      <c r="F434" s="2"/>
      <c r="G434" s="2"/>
      <c r="L434" s="29"/>
    </row>
    <row r="435">
      <c r="B435" s="2"/>
      <c r="C435" s="2"/>
      <c r="D435" s="2"/>
      <c r="E435" s="2"/>
      <c r="F435" s="2"/>
      <c r="G435" s="2"/>
      <c r="L435" s="29"/>
    </row>
    <row r="436">
      <c r="B436" s="2"/>
      <c r="C436" s="2"/>
      <c r="D436" s="2"/>
      <c r="E436" s="2"/>
      <c r="F436" s="2"/>
      <c r="G436" s="2"/>
      <c r="L436" s="29"/>
    </row>
    <row r="437">
      <c r="B437" s="2"/>
      <c r="C437" s="2"/>
      <c r="D437" s="2"/>
      <c r="E437" s="2"/>
      <c r="F437" s="2"/>
      <c r="G437" s="2"/>
      <c r="L437" s="29"/>
    </row>
    <row r="438">
      <c r="B438" s="2"/>
      <c r="C438" s="2"/>
      <c r="D438" s="2"/>
      <c r="E438" s="2"/>
      <c r="F438" s="2"/>
      <c r="G438" s="2"/>
      <c r="L438" s="29"/>
    </row>
    <row r="439">
      <c r="B439" s="2"/>
      <c r="C439" s="2"/>
      <c r="D439" s="2"/>
      <c r="E439" s="2"/>
      <c r="F439" s="2"/>
      <c r="G439" s="2"/>
      <c r="L439" s="29"/>
    </row>
    <row r="440">
      <c r="B440" s="2"/>
      <c r="C440" s="2"/>
      <c r="D440" s="2"/>
      <c r="E440" s="2"/>
      <c r="F440" s="2"/>
      <c r="G440" s="2"/>
      <c r="L440" s="29"/>
    </row>
    <row r="441">
      <c r="B441" s="2"/>
      <c r="C441" s="2"/>
      <c r="D441" s="2"/>
      <c r="E441" s="2"/>
      <c r="F441" s="2"/>
      <c r="G441" s="2"/>
      <c r="L441" s="29"/>
    </row>
    <row r="442">
      <c r="B442" s="2"/>
      <c r="C442" s="2"/>
      <c r="D442" s="2"/>
      <c r="E442" s="2"/>
      <c r="F442" s="2"/>
      <c r="G442" s="2"/>
      <c r="L442" s="29"/>
    </row>
    <row r="443">
      <c r="B443" s="2"/>
      <c r="C443" s="2"/>
      <c r="D443" s="2"/>
      <c r="E443" s="2"/>
      <c r="F443" s="2"/>
      <c r="G443" s="2"/>
      <c r="L443" s="29"/>
    </row>
    <row r="444">
      <c r="B444" s="2"/>
      <c r="C444" s="2"/>
      <c r="D444" s="2"/>
      <c r="E444" s="2"/>
      <c r="F444" s="2"/>
      <c r="G444" s="2"/>
      <c r="L444" s="29"/>
    </row>
    <row r="445">
      <c r="B445" s="2"/>
      <c r="C445" s="2"/>
      <c r="D445" s="2"/>
      <c r="E445" s="2"/>
      <c r="F445" s="2"/>
      <c r="G445" s="2"/>
      <c r="L445" s="29"/>
    </row>
    <row r="446">
      <c r="B446" s="2"/>
      <c r="C446" s="2"/>
      <c r="D446" s="2"/>
      <c r="E446" s="2"/>
      <c r="F446" s="2"/>
      <c r="G446" s="2"/>
      <c r="L446" s="29"/>
    </row>
    <row r="447">
      <c r="B447" s="2"/>
      <c r="C447" s="2"/>
      <c r="D447" s="2"/>
      <c r="E447" s="2"/>
      <c r="F447" s="2"/>
      <c r="G447" s="2"/>
      <c r="L447" s="29"/>
    </row>
    <row r="448">
      <c r="B448" s="2"/>
      <c r="C448" s="2"/>
      <c r="D448" s="2"/>
      <c r="E448" s="2"/>
      <c r="F448" s="2"/>
      <c r="G448" s="2"/>
      <c r="L448" s="29"/>
    </row>
    <row r="449">
      <c r="B449" s="2"/>
      <c r="C449" s="2"/>
      <c r="D449" s="2"/>
      <c r="E449" s="2"/>
      <c r="F449" s="2"/>
      <c r="G449" s="2"/>
      <c r="L449" s="29"/>
    </row>
    <row r="450">
      <c r="B450" s="2"/>
      <c r="C450" s="2"/>
      <c r="D450" s="2"/>
      <c r="E450" s="2"/>
      <c r="F450" s="2"/>
      <c r="G450" s="2"/>
      <c r="L450" s="29"/>
    </row>
    <row r="451">
      <c r="B451" s="2"/>
      <c r="C451" s="2"/>
      <c r="D451" s="2"/>
      <c r="E451" s="2"/>
      <c r="F451" s="2"/>
      <c r="G451" s="2"/>
      <c r="L451" s="29"/>
    </row>
    <row r="452">
      <c r="B452" s="2"/>
      <c r="C452" s="2"/>
      <c r="D452" s="2"/>
      <c r="E452" s="2"/>
      <c r="F452" s="2"/>
      <c r="G452" s="2"/>
      <c r="L452" s="29"/>
    </row>
    <row r="453">
      <c r="B453" s="2"/>
      <c r="C453" s="2"/>
      <c r="D453" s="2"/>
      <c r="E453" s="2"/>
      <c r="F453" s="2"/>
      <c r="G453" s="2"/>
      <c r="L453" s="29"/>
    </row>
    <row r="454">
      <c r="B454" s="2"/>
      <c r="C454" s="2"/>
      <c r="D454" s="2"/>
      <c r="E454" s="2"/>
      <c r="F454" s="2"/>
      <c r="G454" s="2"/>
      <c r="L454" s="29"/>
    </row>
    <row r="455">
      <c r="B455" s="2"/>
      <c r="C455" s="2"/>
      <c r="D455" s="2"/>
      <c r="E455" s="2"/>
      <c r="F455" s="2"/>
      <c r="G455" s="2"/>
      <c r="L455" s="29"/>
    </row>
    <row r="456">
      <c r="B456" s="2"/>
      <c r="C456" s="2"/>
      <c r="D456" s="2"/>
      <c r="E456" s="2"/>
      <c r="F456" s="2"/>
      <c r="G456" s="2"/>
      <c r="L456" s="29"/>
    </row>
    <row r="457">
      <c r="B457" s="2"/>
      <c r="C457" s="2"/>
      <c r="D457" s="2"/>
      <c r="E457" s="2"/>
      <c r="F457" s="2"/>
      <c r="G457" s="2"/>
      <c r="L457" s="29"/>
    </row>
    <row r="458">
      <c r="B458" s="2"/>
      <c r="C458" s="2"/>
      <c r="D458" s="2"/>
      <c r="E458" s="2"/>
      <c r="F458" s="2"/>
      <c r="G458" s="2"/>
      <c r="L458" s="29"/>
    </row>
    <row r="459">
      <c r="B459" s="2"/>
      <c r="C459" s="2"/>
      <c r="D459" s="2"/>
      <c r="E459" s="2"/>
      <c r="F459" s="2"/>
      <c r="G459" s="2"/>
      <c r="L459" s="29"/>
    </row>
    <row r="460">
      <c r="B460" s="2"/>
      <c r="C460" s="2"/>
      <c r="D460" s="2"/>
      <c r="E460" s="2"/>
      <c r="F460" s="2"/>
      <c r="G460" s="2"/>
      <c r="L460" s="29"/>
    </row>
    <row r="461">
      <c r="B461" s="2"/>
      <c r="C461" s="2"/>
      <c r="D461" s="2"/>
      <c r="E461" s="2"/>
      <c r="F461" s="2"/>
      <c r="G461" s="2"/>
      <c r="L461" s="29"/>
    </row>
    <row r="462">
      <c r="B462" s="2"/>
      <c r="C462" s="2"/>
      <c r="D462" s="2"/>
      <c r="E462" s="2"/>
      <c r="F462" s="2"/>
      <c r="G462" s="2"/>
      <c r="L462" s="29"/>
    </row>
    <row r="463">
      <c r="B463" s="2"/>
      <c r="C463" s="2"/>
      <c r="D463" s="2"/>
      <c r="E463" s="2"/>
      <c r="F463" s="2"/>
      <c r="G463" s="2"/>
      <c r="L463" s="29"/>
    </row>
    <row r="464">
      <c r="B464" s="2"/>
      <c r="C464" s="2"/>
      <c r="D464" s="2"/>
      <c r="E464" s="2"/>
      <c r="F464" s="2"/>
      <c r="G464" s="2"/>
      <c r="L464" s="29"/>
    </row>
    <row r="465">
      <c r="B465" s="2"/>
      <c r="C465" s="2"/>
      <c r="D465" s="2"/>
      <c r="E465" s="2"/>
      <c r="F465" s="2"/>
      <c r="G465" s="2"/>
      <c r="L465" s="29"/>
    </row>
    <row r="466">
      <c r="B466" s="2"/>
      <c r="C466" s="2"/>
      <c r="D466" s="2"/>
      <c r="E466" s="2"/>
      <c r="F466" s="2"/>
      <c r="G466" s="2"/>
      <c r="L466" s="29"/>
    </row>
    <row r="467">
      <c r="B467" s="2"/>
      <c r="C467" s="2"/>
      <c r="D467" s="2"/>
      <c r="E467" s="2"/>
      <c r="F467" s="2"/>
      <c r="G467" s="2"/>
      <c r="L467" s="29"/>
    </row>
    <row r="468">
      <c r="B468" s="2"/>
      <c r="C468" s="2"/>
      <c r="D468" s="2"/>
      <c r="E468" s="2"/>
      <c r="F468" s="2"/>
      <c r="G468" s="2"/>
      <c r="L468" s="29"/>
    </row>
    <row r="469">
      <c r="B469" s="2"/>
      <c r="C469" s="2"/>
      <c r="D469" s="2"/>
      <c r="E469" s="2"/>
      <c r="F469" s="2"/>
      <c r="G469" s="2"/>
      <c r="L469" s="29"/>
    </row>
    <row r="470">
      <c r="B470" s="2"/>
      <c r="C470" s="2"/>
      <c r="D470" s="2"/>
      <c r="E470" s="2"/>
      <c r="F470" s="2"/>
      <c r="G470" s="2"/>
      <c r="L470" s="29"/>
    </row>
    <row r="471">
      <c r="B471" s="2"/>
      <c r="C471" s="2"/>
      <c r="D471" s="2"/>
      <c r="E471" s="2"/>
      <c r="F471" s="2"/>
      <c r="G471" s="2"/>
      <c r="L471" s="29"/>
    </row>
    <row r="472">
      <c r="B472" s="2"/>
      <c r="C472" s="2"/>
      <c r="D472" s="2"/>
      <c r="E472" s="2"/>
      <c r="F472" s="2"/>
      <c r="G472" s="2"/>
      <c r="L472" s="29"/>
    </row>
    <row r="473">
      <c r="B473" s="2"/>
      <c r="C473" s="2"/>
      <c r="D473" s="2"/>
      <c r="E473" s="2"/>
      <c r="F473" s="2"/>
      <c r="G473" s="2"/>
      <c r="L473" s="29"/>
    </row>
    <row r="474">
      <c r="B474" s="2"/>
      <c r="C474" s="2"/>
      <c r="D474" s="2"/>
      <c r="E474" s="2"/>
      <c r="F474" s="2"/>
      <c r="G474" s="2"/>
      <c r="L474" s="29"/>
    </row>
    <row r="475">
      <c r="B475" s="2"/>
      <c r="C475" s="2"/>
      <c r="D475" s="2"/>
      <c r="E475" s="2"/>
      <c r="F475" s="2"/>
      <c r="G475" s="2"/>
      <c r="L475" s="29"/>
    </row>
    <row r="476">
      <c r="B476" s="2"/>
      <c r="C476" s="2"/>
      <c r="D476" s="2"/>
      <c r="E476" s="2"/>
      <c r="F476" s="2"/>
      <c r="G476" s="2"/>
      <c r="L476" s="29"/>
    </row>
    <row r="477">
      <c r="B477" s="2"/>
      <c r="C477" s="2"/>
      <c r="D477" s="2"/>
      <c r="E477" s="2"/>
      <c r="F477" s="2"/>
      <c r="G477" s="2"/>
      <c r="L477" s="29"/>
    </row>
    <row r="478">
      <c r="B478" s="2"/>
      <c r="C478" s="2"/>
      <c r="D478" s="2"/>
      <c r="E478" s="2"/>
      <c r="F478" s="2"/>
      <c r="G478" s="2"/>
      <c r="L478" s="29"/>
    </row>
    <row r="479">
      <c r="B479" s="2"/>
      <c r="C479" s="2"/>
      <c r="D479" s="2"/>
      <c r="E479" s="2"/>
      <c r="F479" s="2"/>
      <c r="G479" s="2"/>
      <c r="L479" s="29"/>
    </row>
    <row r="480">
      <c r="B480" s="2"/>
      <c r="C480" s="2"/>
      <c r="D480" s="2"/>
      <c r="E480" s="2"/>
      <c r="F480" s="2"/>
      <c r="G480" s="2"/>
      <c r="L480" s="29"/>
    </row>
    <row r="481">
      <c r="B481" s="2"/>
      <c r="C481" s="2"/>
      <c r="D481" s="2"/>
      <c r="E481" s="2"/>
      <c r="F481" s="2"/>
      <c r="G481" s="2"/>
      <c r="L481" s="29"/>
    </row>
    <row r="482">
      <c r="B482" s="2"/>
      <c r="C482" s="2"/>
      <c r="D482" s="2"/>
      <c r="E482" s="2"/>
      <c r="F482" s="2"/>
      <c r="G482" s="2"/>
      <c r="L482" s="29"/>
    </row>
    <row r="483">
      <c r="B483" s="2"/>
      <c r="C483" s="2"/>
      <c r="D483" s="2"/>
      <c r="E483" s="2"/>
      <c r="F483" s="2"/>
      <c r="G483" s="2"/>
      <c r="L483" s="29"/>
    </row>
    <row r="484">
      <c r="B484" s="2"/>
      <c r="C484" s="2"/>
      <c r="D484" s="2"/>
      <c r="E484" s="2"/>
      <c r="F484" s="2"/>
      <c r="G484" s="2"/>
      <c r="L484" s="29"/>
    </row>
    <row r="485">
      <c r="B485" s="2"/>
      <c r="C485" s="2"/>
      <c r="D485" s="2"/>
      <c r="E485" s="2"/>
      <c r="F485" s="2"/>
      <c r="G485" s="2"/>
      <c r="L485" s="29"/>
    </row>
    <row r="486">
      <c r="B486" s="2"/>
      <c r="C486" s="2"/>
      <c r="D486" s="2"/>
      <c r="E486" s="2"/>
      <c r="F486" s="2"/>
      <c r="G486" s="2"/>
      <c r="L486" s="29"/>
    </row>
    <row r="487">
      <c r="B487" s="2"/>
      <c r="C487" s="2"/>
      <c r="D487" s="2"/>
      <c r="E487" s="2"/>
      <c r="F487" s="2"/>
      <c r="G487" s="2"/>
      <c r="L487" s="29"/>
    </row>
    <row r="488">
      <c r="B488" s="2"/>
      <c r="C488" s="2"/>
      <c r="D488" s="2"/>
      <c r="E488" s="2"/>
      <c r="F488" s="2"/>
      <c r="G488" s="2"/>
      <c r="L488" s="29"/>
    </row>
    <row r="489">
      <c r="B489" s="2"/>
      <c r="C489" s="2"/>
      <c r="D489" s="2"/>
      <c r="E489" s="2"/>
      <c r="F489" s="2"/>
      <c r="G489" s="2"/>
      <c r="L489" s="29"/>
    </row>
    <row r="490">
      <c r="B490" s="2"/>
      <c r="C490" s="2"/>
      <c r="D490" s="2"/>
      <c r="E490" s="2"/>
      <c r="F490" s="2"/>
      <c r="G490" s="2"/>
      <c r="L490" s="29"/>
    </row>
    <row r="491">
      <c r="B491" s="2"/>
      <c r="C491" s="2"/>
      <c r="D491" s="2"/>
      <c r="E491" s="2"/>
      <c r="F491" s="2"/>
      <c r="G491" s="2"/>
      <c r="L491" s="29"/>
    </row>
    <row r="492">
      <c r="B492" s="2"/>
      <c r="C492" s="2"/>
      <c r="D492" s="2"/>
      <c r="E492" s="2"/>
      <c r="F492" s="2"/>
      <c r="G492" s="2"/>
      <c r="L492" s="29"/>
    </row>
    <row r="493">
      <c r="B493" s="2"/>
      <c r="C493" s="2"/>
      <c r="D493" s="2"/>
      <c r="E493" s="2"/>
      <c r="F493" s="2"/>
      <c r="G493" s="2"/>
      <c r="L493" s="29"/>
    </row>
    <row r="494">
      <c r="B494" s="2"/>
      <c r="C494" s="2"/>
      <c r="D494" s="2"/>
      <c r="E494" s="2"/>
      <c r="F494" s="2"/>
      <c r="G494" s="2"/>
      <c r="L494" s="29"/>
    </row>
    <row r="495">
      <c r="B495" s="2"/>
      <c r="C495" s="2"/>
      <c r="D495" s="2"/>
      <c r="E495" s="2"/>
      <c r="F495" s="2"/>
      <c r="G495" s="2"/>
      <c r="L495" s="29"/>
    </row>
    <row r="496">
      <c r="B496" s="2"/>
      <c r="C496" s="2"/>
      <c r="D496" s="2"/>
      <c r="E496" s="2"/>
      <c r="F496" s="2"/>
      <c r="G496" s="2"/>
      <c r="L496" s="29"/>
    </row>
    <row r="497">
      <c r="B497" s="2"/>
      <c r="C497" s="2"/>
      <c r="D497" s="2"/>
      <c r="E497" s="2"/>
      <c r="F497" s="2"/>
      <c r="G497" s="2"/>
      <c r="L497" s="29"/>
    </row>
    <row r="498">
      <c r="B498" s="2"/>
      <c r="C498" s="2"/>
      <c r="D498" s="2"/>
      <c r="E498" s="2"/>
      <c r="F498" s="2"/>
      <c r="G498" s="2"/>
      <c r="L498" s="29"/>
    </row>
    <row r="499">
      <c r="B499" s="2"/>
      <c r="C499" s="2"/>
      <c r="D499" s="2"/>
      <c r="E499" s="2"/>
      <c r="F499" s="2"/>
      <c r="G499" s="2"/>
      <c r="L499" s="29"/>
    </row>
    <row r="500">
      <c r="B500" s="2"/>
      <c r="C500" s="2"/>
      <c r="D500" s="2"/>
      <c r="E500" s="2"/>
      <c r="F500" s="2"/>
      <c r="G500" s="2"/>
      <c r="L500" s="29"/>
    </row>
    <row r="501">
      <c r="B501" s="2"/>
      <c r="C501" s="2"/>
      <c r="D501" s="2"/>
      <c r="E501" s="2"/>
      <c r="F501" s="2"/>
      <c r="G501" s="2"/>
      <c r="L501" s="29"/>
    </row>
    <row r="502">
      <c r="B502" s="2"/>
      <c r="C502" s="2"/>
      <c r="D502" s="2"/>
      <c r="E502" s="2"/>
      <c r="F502" s="2"/>
      <c r="G502" s="2"/>
      <c r="L502" s="29"/>
    </row>
    <row r="503">
      <c r="B503" s="2"/>
      <c r="C503" s="2"/>
      <c r="D503" s="2"/>
      <c r="E503" s="2"/>
      <c r="F503" s="2"/>
      <c r="G503" s="2"/>
      <c r="L503" s="29"/>
    </row>
    <row r="504">
      <c r="B504" s="2"/>
      <c r="C504" s="2"/>
      <c r="D504" s="2"/>
      <c r="E504" s="2"/>
      <c r="F504" s="2"/>
      <c r="G504" s="2"/>
      <c r="L504" s="29"/>
    </row>
    <row r="505">
      <c r="B505" s="2"/>
      <c r="C505" s="2"/>
      <c r="D505" s="2"/>
      <c r="E505" s="2"/>
      <c r="F505" s="2"/>
      <c r="G505" s="2"/>
      <c r="L505" s="29"/>
    </row>
    <row r="506">
      <c r="B506" s="2"/>
      <c r="C506" s="2"/>
      <c r="D506" s="2"/>
      <c r="E506" s="2"/>
      <c r="F506" s="2"/>
      <c r="G506" s="2"/>
      <c r="L506" s="29"/>
    </row>
    <row r="507">
      <c r="B507" s="2"/>
      <c r="C507" s="2"/>
      <c r="D507" s="2"/>
      <c r="E507" s="2"/>
      <c r="F507" s="2"/>
      <c r="G507" s="2"/>
      <c r="L507" s="29"/>
    </row>
    <row r="508">
      <c r="B508" s="2"/>
      <c r="C508" s="2"/>
      <c r="D508" s="2"/>
      <c r="E508" s="2"/>
      <c r="F508" s="2"/>
      <c r="G508" s="2"/>
      <c r="L508" s="29"/>
    </row>
    <row r="509">
      <c r="B509" s="2"/>
      <c r="C509" s="2"/>
      <c r="D509" s="2"/>
      <c r="E509" s="2"/>
      <c r="F509" s="2"/>
      <c r="G509" s="2"/>
      <c r="L509" s="29"/>
    </row>
    <row r="510">
      <c r="B510" s="2"/>
      <c r="C510" s="2"/>
      <c r="D510" s="2"/>
      <c r="E510" s="2"/>
      <c r="F510" s="2"/>
      <c r="G510" s="2"/>
      <c r="L510" s="29"/>
    </row>
    <row r="511">
      <c r="B511" s="2"/>
      <c r="C511" s="2"/>
      <c r="D511" s="2"/>
      <c r="E511" s="2"/>
      <c r="F511" s="2"/>
      <c r="G511" s="2"/>
      <c r="L511" s="29"/>
    </row>
    <row r="512">
      <c r="B512" s="2"/>
      <c r="C512" s="2"/>
      <c r="D512" s="2"/>
      <c r="E512" s="2"/>
      <c r="F512" s="2"/>
      <c r="G512" s="2"/>
      <c r="L512" s="29"/>
    </row>
    <row r="513">
      <c r="B513" s="2"/>
      <c r="C513" s="2"/>
      <c r="D513" s="2"/>
      <c r="E513" s="2"/>
      <c r="F513" s="2"/>
      <c r="G513" s="2"/>
      <c r="L513" s="29"/>
    </row>
    <row r="514">
      <c r="B514" s="2"/>
      <c r="C514" s="2"/>
      <c r="D514" s="2"/>
      <c r="E514" s="2"/>
      <c r="F514" s="2"/>
      <c r="G514" s="2"/>
      <c r="L514" s="29"/>
    </row>
    <row r="515">
      <c r="B515" s="2"/>
      <c r="C515" s="2"/>
      <c r="D515" s="2"/>
      <c r="E515" s="2"/>
      <c r="F515" s="2"/>
      <c r="G515" s="2"/>
      <c r="L515" s="29"/>
    </row>
    <row r="516">
      <c r="B516" s="2"/>
      <c r="C516" s="2"/>
      <c r="D516" s="2"/>
      <c r="E516" s="2"/>
      <c r="F516" s="2"/>
      <c r="G516" s="2"/>
      <c r="L516" s="29"/>
    </row>
    <row r="517">
      <c r="B517" s="2"/>
      <c r="C517" s="2"/>
      <c r="D517" s="2"/>
      <c r="E517" s="2"/>
      <c r="F517" s="2"/>
      <c r="G517" s="2"/>
      <c r="L517" s="29"/>
    </row>
    <row r="518">
      <c r="B518" s="2"/>
      <c r="C518" s="2"/>
      <c r="D518" s="2"/>
      <c r="E518" s="2"/>
      <c r="F518" s="2"/>
      <c r="G518" s="2"/>
      <c r="L518" s="29"/>
    </row>
    <row r="519">
      <c r="B519" s="2"/>
      <c r="C519" s="2"/>
      <c r="D519" s="2"/>
      <c r="E519" s="2"/>
      <c r="F519" s="2"/>
      <c r="G519" s="2"/>
      <c r="L519" s="29"/>
    </row>
    <row r="520">
      <c r="B520" s="2"/>
      <c r="C520" s="2"/>
      <c r="D520" s="2"/>
      <c r="E520" s="2"/>
      <c r="F520" s="2"/>
      <c r="G520" s="2"/>
      <c r="L520" s="29"/>
    </row>
    <row r="521">
      <c r="B521" s="2"/>
      <c r="C521" s="2"/>
      <c r="D521" s="2"/>
      <c r="E521" s="2"/>
      <c r="F521" s="2"/>
      <c r="G521" s="2"/>
      <c r="L521" s="29"/>
    </row>
    <row r="522">
      <c r="B522" s="2"/>
      <c r="C522" s="2"/>
      <c r="D522" s="2"/>
      <c r="E522" s="2"/>
      <c r="F522" s="2"/>
      <c r="G522" s="2"/>
      <c r="L522" s="29"/>
    </row>
    <row r="523">
      <c r="B523" s="2"/>
      <c r="C523" s="2"/>
      <c r="D523" s="2"/>
      <c r="E523" s="2"/>
      <c r="F523" s="2"/>
      <c r="G523" s="2"/>
      <c r="L523" s="29"/>
    </row>
    <row r="524">
      <c r="B524" s="2"/>
      <c r="C524" s="2"/>
      <c r="D524" s="2"/>
      <c r="E524" s="2"/>
      <c r="F524" s="2"/>
      <c r="G524" s="2"/>
      <c r="L524" s="29"/>
    </row>
    <row r="525">
      <c r="B525" s="2"/>
      <c r="C525" s="2"/>
      <c r="D525" s="2"/>
      <c r="E525" s="2"/>
      <c r="F525" s="2"/>
      <c r="G525" s="2"/>
      <c r="L525" s="29"/>
    </row>
    <row r="526">
      <c r="B526" s="2"/>
      <c r="C526" s="2"/>
      <c r="D526" s="2"/>
      <c r="E526" s="2"/>
      <c r="F526" s="2"/>
      <c r="G526" s="2"/>
      <c r="L526" s="29"/>
    </row>
    <row r="527">
      <c r="B527" s="2"/>
      <c r="C527" s="2"/>
      <c r="D527" s="2"/>
      <c r="E527" s="2"/>
      <c r="F527" s="2"/>
      <c r="G527" s="2"/>
      <c r="L527" s="29"/>
    </row>
    <row r="528">
      <c r="B528" s="2"/>
      <c r="C528" s="2"/>
      <c r="D528" s="2"/>
      <c r="E528" s="2"/>
      <c r="F528" s="2"/>
      <c r="G528" s="2"/>
      <c r="L528" s="29"/>
    </row>
    <row r="529">
      <c r="B529" s="2"/>
      <c r="C529" s="2"/>
      <c r="D529" s="2"/>
      <c r="E529" s="2"/>
      <c r="F529" s="2"/>
      <c r="G529" s="2"/>
      <c r="L529" s="29"/>
    </row>
    <row r="530">
      <c r="B530" s="2"/>
      <c r="C530" s="2"/>
      <c r="D530" s="2"/>
      <c r="E530" s="2"/>
      <c r="F530" s="2"/>
      <c r="G530" s="2"/>
      <c r="L530" s="29"/>
    </row>
    <row r="531">
      <c r="B531" s="2"/>
      <c r="C531" s="2"/>
      <c r="D531" s="2"/>
      <c r="E531" s="2"/>
      <c r="F531" s="2"/>
      <c r="G531" s="2"/>
      <c r="L531" s="29"/>
    </row>
    <row r="532">
      <c r="B532" s="2"/>
      <c r="C532" s="2"/>
      <c r="D532" s="2"/>
      <c r="E532" s="2"/>
      <c r="F532" s="2"/>
      <c r="G532" s="2"/>
      <c r="L532" s="29"/>
    </row>
    <row r="533">
      <c r="B533" s="2"/>
      <c r="C533" s="2"/>
      <c r="D533" s="2"/>
      <c r="E533" s="2"/>
      <c r="F533" s="2"/>
      <c r="G533" s="2"/>
      <c r="L533" s="29"/>
    </row>
    <row r="534">
      <c r="B534" s="2"/>
      <c r="C534" s="2"/>
      <c r="D534" s="2"/>
      <c r="E534" s="2"/>
      <c r="F534" s="2"/>
      <c r="G534" s="2"/>
      <c r="L534" s="29"/>
    </row>
    <row r="535">
      <c r="B535" s="2"/>
      <c r="C535" s="2"/>
      <c r="D535" s="2"/>
      <c r="E535" s="2"/>
      <c r="F535" s="2"/>
      <c r="G535" s="2"/>
      <c r="L535" s="29"/>
    </row>
    <row r="536">
      <c r="B536" s="2"/>
      <c r="C536" s="2"/>
      <c r="D536" s="2"/>
      <c r="E536" s="2"/>
      <c r="F536" s="2"/>
      <c r="G536" s="2"/>
      <c r="L536" s="29"/>
    </row>
    <row r="537">
      <c r="B537" s="2"/>
      <c r="C537" s="2"/>
      <c r="D537" s="2"/>
      <c r="E537" s="2"/>
      <c r="F537" s="2"/>
      <c r="G537" s="2"/>
      <c r="L537" s="29"/>
    </row>
    <row r="538">
      <c r="B538" s="2"/>
      <c r="C538" s="2"/>
      <c r="D538" s="2"/>
      <c r="E538" s="2"/>
      <c r="F538" s="2"/>
      <c r="G538" s="2"/>
      <c r="L538" s="29"/>
    </row>
    <row r="539">
      <c r="B539" s="2"/>
      <c r="C539" s="2"/>
      <c r="D539" s="2"/>
      <c r="E539" s="2"/>
      <c r="F539" s="2"/>
      <c r="G539" s="2"/>
      <c r="L539" s="29"/>
    </row>
    <row r="540">
      <c r="B540" s="2"/>
      <c r="C540" s="2"/>
      <c r="D540" s="2"/>
      <c r="E540" s="2"/>
      <c r="F540" s="2"/>
      <c r="G540" s="2"/>
      <c r="L540" s="29"/>
    </row>
    <row r="541">
      <c r="B541" s="2"/>
      <c r="C541" s="2"/>
      <c r="D541" s="2"/>
      <c r="E541" s="2"/>
      <c r="F541" s="2"/>
      <c r="G541" s="2"/>
      <c r="L541" s="29"/>
    </row>
    <row r="542">
      <c r="B542" s="2"/>
      <c r="C542" s="2"/>
      <c r="D542" s="2"/>
      <c r="E542" s="2"/>
      <c r="F542" s="2"/>
      <c r="G542" s="2"/>
      <c r="L542" s="29"/>
    </row>
    <row r="543">
      <c r="B543" s="2"/>
      <c r="C543" s="2"/>
      <c r="D543" s="2"/>
      <c r="E543" s="2"/>
      <c r="F543" s="2"/>
      <c r="G543" s="2"/>
      <c r="L543" s="29"/>
    </row>
    <row r="544">
      <c r="B544" s="2"/>
      <c r="C544" s="2"/>
      <c r="D544" s="2"/>
      <c r="E544" s="2"/>
      <c r="F544" s="2"/>
      <c r="G544" s="2"/>
      <c r="L544" s="29"/>
    </row>
    <row r="545">
      <c r="B545" s="2"/>
      <c r="C545" s="2"/>
      <c r="D545" s="2"/>
      <c r="E545" s="2"/>
      <c r="F545" s="2"/>
      <c r="G545" s="2"/>
      <c r="L545" s="29"/>
    </row>
    <row r="546">
      <c r="B546" s="2"/>
      <c r="C546" s="2"/>
      <c r="D546" s="2"/>
      <c r="E546" s="2"/>
      <c r="F546" s="2"/>
      <c r="G546" s="2"/>
      <c r="L546" s="29"/>
    </row>
    <row r="547">
      <c r="B547" s="2"/>
      <c r="C547" s="2"/>
      <c r="D547" s="2"/>
      <c r="E547" s="2"/>
      <c r="F547" s="2"/>
      <c r="G547" s="2"/>
      <c r="L547" s="29"/>
    </row>
    <row r="548">
      <c r="B548" s="2"/>
      <c r="C548" s="2"/>
      <c r="D548" s="2"/>
      <c r="E548" s="2"/>
      <c r="F548" s="2"/>
      <c r="G548" s="2"/>
      <c r="L548" s="29"/>
    </row>
    <row r="549">
      <c r="B549" s="2"/>
      <c r="C549" s="2"/>
      <c r="D549" s="2"/>
      <c r="E549" s="2"/>
      <c r="F549" s="2"/>
      <c r="G549" s="2"/>
      <c r="L549" s="29"/>
    </row>
    <row r="550">
      <c r="B550" s="2"/>
      <c r="C550" s="2"/>
      <c r="D550" s="2"/>
      <c r="E550" s="2"/>
      <c r="F550" s="2"/>
      <c r="G550" s="2"/>
      <c r="L550" s="29"/>
    </row>
    <row r="551">
      <c r="B551" s="2"/>
      <c r="C551" s="2"/>
      <c r="D551" s="2"/>
      <c r="E551" s="2"/>
      <c r="F551" s="2"/>
      <c r="G551" s="2"/>
      <c r="L551" s="29"/>
    </row>
    <row r="552">
      <c r="B552" s="2"/>
      <c r="C552" s="2"/>
      <c r="D552" s="2"/>
      <c r="E552" s="2"/>
      <c r="F552" s="2"/>
      <c r="G552" s="2"/>
      <c r="L552" s="29"/>
    </row>
    <row r="553">
      <c r="B553" s="2"/>
      <c r="C553" s="2"/>
      <c r="D553" s="2"/>
      <c r="E553" s="2"/>
      <c r="F553" s="2"/>
      <c r="G553" s="2"/>
      <c r="L553" s="29"/>
    </row>
    <row r="554">
      <c r="B554" s="2"/>
      <c r="C554" s="2"/>
      <c r="D554" s="2"/>
      <c r="E554" s="2"/>
      <c r="F554" s="2"/>
      <c r="G554" s="2"/>
      <c r="L554" s="29"/>
    </row>
    <row r="555">
      <c r="B555" s="2"/>
      <c r="C555" s="2"/>
      <c r="D555" s="2"/>
      <c r="E555" s="2"/>
      <c r="F555" s="2"/>
      <c r="G555" s="2"/>
      <c r="L555" s="29"/>
    </row>
    <row r="556">
      <c r="B556" s="2"/>
      <c r="C556" s="2"/>
      <c r="D556" s="2"/>
      <c r="E556" s="2"/>
      <c r="F556" s="2"/>
      <c r="G556" s="2"/>
      <c r="L556" s="29"/>
    </row>
    <row r="557">
      <c r="B557" s="2"/>
      <c r="C557" s="2"/>
      <c r="D557" s="2"/>
      <c r="E557" s="2"/>
      <c r="F557" s="2"/>
      <c r="G557" s="2"/>
      <c r="L557" s="29"/>
    </row>
    <row r="558">
      <c r="B558" s="2"/>
      <c r="C558" s="2"/>
      <c r="D558" s="2"/>
      <c r="E558" s="2"/>
      <c r="F558" s="2"/>
      <c r="G558" s="2"/>
      <c r="L558" s="29"/>
    </row>
    <row r="559">
      <c r="B559" s="2"/>
      <c r="C559" s="2"/>
      <c r="D559" s="2"/>
      <c r="E559" s="2"/>
      <c r="F559" s="2"/>
      <c r="G559" s="2"/>
      <c r="L559" s="29"/>
    </row>
    <row r="560">
      <c r="B560" s="2"/>
      <c r="C560" s="2"/>
      <c r="D560" s="2"/>
      <c r="E560" s="2"/>
      <c r="F560" s="2"/>
      <c r="G560" s="2"/>
      <c r="L560" s="29"/>
    </row>
    <row r="561">
      <c r="B561" s="2"/>
      <c r="C561" s="2"/>
      <c r="D561" s="2"/>
      <c r="E561" s="2"/>
      <c r="F561" s="2"/>
      <c r="G561" s="2"/>
      <c r="L561" s="29"/>
    </row>
    <row r="562">
      <c r="B562" s="2"/>
      <c r="C562" s="2"/>
      <c r="D562" s="2"/>
      <c r="E562" s="2"/>
      <c r="F562" s="2"/>
      <c r="G562" s="2"/>
      <c r="L562" s="29"/>
    </row>
    <row r="563">
      <c r="B563" s="2"/>
      <c r="C563" s="2"/>
      <c r="D563" s="2"/>
      <c r="E563" s="2"/>
      <c r="F563" s="2"/>
      <c r="G563" s="2"/>
      <c r="L563" s="29"/>
    </row>
    <row r="564">
      <c r="B564" s="2"/>
      <c r="C564" s="2"/>
      <c r="D564" s="2"/>
      <c r="E564" s="2"/>
      <c r="F564" s="2"/>
      <c r="G564" s="2"/>
      <c r="L564" s="29"/>
    </row>
    <row r="565">
      <c r="B565" s="2"/>
      <c r="C565" s="2"/>
      <c r="D565" s="2"/>
      <c r="E565" s="2"/>
      <c r="F565" s="2"/>
      <c r="G565" s="2"/>
      <c r="L565" s="29"/>
    </row>
    <row r="566">
      <c r="B566" s="2"/>
      <c r="C566" s="2"/>
      <c r="D566" s="2"/>
      <c r="E566" s="2"/>
      <c r="F566" s="2"/>
      <c r="G566" s="2"/>
      <c r="L566" s="29"/>
    </row>
    <row r="567">
      <c r="B567" s="2"/>
      <c r="C567" s="2"/>
      <c r="D567" s="2"/>
      <c r="E567" s="2"/>
      <c r="F567" s="2"/>
      <c r="G567" s="2"/>
      <c r="L567" s="29"/>
    </row>
    <row r="568">
      <c r="B568" s="2"/>
      <c r="C568" s="2"/>
      <c r="D568" s="2"/>
      <c r="E568" s="2"/>
      <c r="F568" s="2"/>
      <c r="G568" s="2"/>
      <c r="L568" s="29"/>
    </row>
    <row r="569">
      <c r="B569" s="2"/>
      <c r="C569" s="2"/>
      <c r="D569" s="2"/>
      <c r="E569" s="2"/>
      <c r="F569" s="2"/>
      <c r="G569" s="2"/>
      <c r="L569" s="29"/>
    </row>
    <row r="570">
      <c r="B570" s="2"/>
      <c r="C570" s="2"/>
      <c r="D570" s="2"/>
      <c r="E570" s="2"/>
      <c r="F570" s="2"/>
      <c r="G570" s="2"/>
      <c r="L570" s="29"/>
    </row>
    <row r="571">
      <c r="B571" s="2"/>
      <c r="C571" s="2"/>
      <c r="D571" s="2"/>
      <c r="E571" s="2"/>
      <c r="F571" s="2"/>
      <c r="G571" s="2"/>
      <c r="L571" s="29"/>
    </row>
    <row r="572">
      <c r="B572" s="2"/>
      <c r="C572" s="2"/>
      <c r="D572" s="2"/>
      <c r="E572" s="2"/>
      <c r="F572" s="2"/>
      <c r="G572" s="2"/>
      <c r="L572" s="29"/>
    </row>
    <row r="573">
      <c r="B573" s="2"/>
      <c r="C573" s="2"/>
      <c r="D573" s="2"/>
      <c r="E573" s="2"/>
      <c r="F573" s="2"/>
      <c r="G573" s="2"/>
      <c r="L573" s="29"/>
    </row>
    <row r="574">
      <c r="B574" s="2"/>
      <c r="C574" s="2"/>
      <c r="D574" s="2"/>
      <c r="E574" s="2"/>
      <c r="F574" s="2"/>
      <c r="G574" s="2"/>
      <c r="L574" s="29"/>
    </row>
    <row r="575">
      <c r="B575" s="2"/>
      <c r="C575" s="2"/>
      <c r="D575" s="2"/>
      <c r="E575" s="2"/>
      <c r="F575" s="2"/>
      <c r="G575" s="2"/>
      <c r="L575" s="29"/>
    </row>
    <row r="576">
      <c r="B576" s="2"/>
      <c r="C576" s="2"/>
      <c r="D576" s="2"/>
      <c r="E576" s="2"/>
      <c r="F576" s="2"/>
      <c r="G576" s="2"/>
      <c r="L576" s="29"/>
    </row>
    <row r="577">
      <c r="B577" s="2"/>
      <c r="C577" s="2"/>
      <c r="D577" s="2"/>
      <c r="E577" s="2"/>
      <c r="F577" s="2"/>
      <c r="G577" s="2"/>
      <c r="L577" s="29"/>
    </row>
    <row r="578">
      <c r="B578" s="2"/>
      <c r="C578" s="2"/>
      <c r="D578" s="2"/>
      <c r="E578" s="2"/>
      <c r="F578" s="2"/>
      <c r="G578" s="2"/>
      <c r="L578" s="29"/>
    </row>
    <row r="579">
      <c r="B579" s="2"/>
      <c r="C579" s="2"/>
      <c r="D579" s="2"/>
      <c r="E579" s="2"/>
      <c r="F579" s="2"/>
      <c r="G579" s="2"/>
      <c r="L579" s="29"/>
    </row>
    <row r="580">
      <c r="B580" s="2"/>
      <c r="C580" s="2"/>
      <c r="D580" s="2"/>
      <c r="E580" s="2"/>
      <c r="F580" s="2"/>
      <c r="G580" s="2"/>
      <c r="L580" s="29"/>
    </row>
    <row r="581">
      <c r="B581" s="2"/>
      <c r="C581" s="2"/>
      <c r="D581" s="2"/>
      <c r="E581" s="2"/>
      <c r="F581" s="2"/>
      <c r="G581" s="2"/>
      <c r="L581" s="29"/>
    </row>
    <row r="582">
      <c r="B582" s="2"/>
      <c r="C582" s="2"/>
      <c r="D582" s="2"/>
      <c r="E582" s="2"/>
      <c r="F582" s="2"/>
      <c r="G582" s="2"/>
      <c r="L582" s="29"/>
    </row>
    <row r="583">
      <c r="B583" s="2"/>
      <c r="C583" s="2"/>
      <c r="D583" s="2"/>
      <c r="E583" s="2"/>
      <c r="F583" s="2"/>
      <c r="G583" s="2"/>
      <c r="L583" s="29"/>
    </row>
    <row r="584">
      <c r="B584" s="2"/>
      <c r="C584" s="2"/>
      <c r="D584" s="2"/>
      <c r="E584" s="2"/>
      <c r="F584" s="2"/>
      <c r="G584" s="2"/>
      <c r="L584" s="29"/>
    </row>
    <row r="585">
      <c r="B585" s="2"/>
      <c r="C585" s="2"/>
      <c r="D585" s="2"/>
      <c r="E585" s="2"/>
      <c r="F585" s="2"/>
      <c r="G585" s="2"/>
      <c r="L585" s="29"/>
    </row>
    <row r="586">
      <c r="B586" s="2"/>
      <c r="C586" s="2"/>
      <c r="D586" s="2"/>
      <c r="E586" s="2"/>
      <c r="F586" s="2"/>
      <c r="G586" s="2"/>
      <c r="L586" s="29"/>
    </row>
    <row r="587">
      <c r="B587" s="2"/>
      <c r="C587" s="2"/>
      <c r="D587" s="2"/>
      <c r="E587" s="2"/>
      <c r="F587" s="2"/>
      <c r="G587" s="2"/>
      <c r="L587" s="29"/>
    </row>
    <row r="588">
      <c r="B588" s="2"/>
      <c r="C588" s="2"/>
      <c r="D588" s="2"/>
      <c r="E588" s="2"/>
      <c r="F588" s="2"/>
      <c r="G588" s="2"/>
      <c r="L588" s="29"/>
    </row>
    <row r="589">
      <c r="B589" s="2"/>
      <c r="C589" s="2"/>
      <c r="D589" s="2"/>
      <c r="E589" s="2"/>
      <c r="F589" s="2"/>
      <c r="G589" s="2"/>
      <c r="L589" s="29"/>
    </row>
    <row r="590">
      <c r="B590" s="2"/>
      <c r="C590" s="2"/>
      <c r="D590" s="2"/>
      <c r="E590" s="2"/>
      <c r="F590" s="2"/>
      <c r="G590" s="2"/>
      <c r="L590" s="29"/>
    </row>
    <row r="591">
      <c r="B591" s="2"/>
      <c r="C591" s="2"/>
      <c r="D591" s="2"/>
      <c r="E591" s="2"/>
      <c r="F591" s="2"/>
      <c r="G591" s="2"/>
      <c r="L591" s="29"/>
    </row>
    <row r="592">
      <c r="B592" s="2"/>
      <c r="C592" s="2"/>
      <c r="D592" s="2"/>
      <c r="E592" s="2"/>
      <c r="F592" s="2"/>
      <c r="G592" s="2"/>
      <c r="L592" s="29"/>
    </row>
    <row r="593">
      <c r="B593" s="2"/>
      <c r="C593" s="2"/>
      <c r="D593" s="2"/>
      <c r="E593" s="2"/>
      <c r="F593" s="2"/>
      <c r="G593" s="2"/>
      <c r="L593" s="29"/>
    </row>
    <row r="594">
      <c r="B594" s="2"/>
      <c r="C594" s="2"/>
      <c r="D594" s="2"/>
      <c r="E594" s="2"/>
      <c r="F594" s="2"/>
      <c r="G594" s="2"/>
      <c r="L594" s="29"/>
    </row>
    <row r="595">
      <c r="B595" s="2"/>
      <c r="C595" s="2"/>
      <c r="D595" s="2"/>
      <c r="E595" s="2"/>
      <c r="F595" s="2"/>
      <c r="G595" s="2"/>
      <c r="L595" s="29"/>
    </row>
    <row r="596">
      <c r="B596" s="2"/>
      <c r="C596" s="2"/>
      <c r="D596" s="2"/>
      <c r="E596" s="2"/>
      <c r="F596" s="2"/>
      <c r="G596" s="2"/>
      <c r="L596" s="29"/>
    </row>
    <row r="597">
      <c r="B597" s="2"/>
      <c r="C597" s="2"/>
      <c r="D597" s="2"/>
      <c r="E597" s="2"/>
      <c r="F597" s="2"/>
      <c r="G597" s="2"/>
      <c r="L597" s="29"/>
    </row>
    <row r="598">
      <c r="B598" s="2"/>
      <c r="C598" s="2"/>
      <c r="D598" s="2"/>
      <c r="E598" s="2"/>
      <c r="F598" s="2"/>
      <c r="G598" s="2"/>
      <c r="L598" s="29"/>
    </row>
    <row r="599">
      <c r="B599" s="2"/>
      <c r="C599" s="2"/>
      <c r="D599" s="2"/>
      <c r="E599" s="2"/>
      <c r="F599" s="2"/>
      <c r="G599" s="2"/>
      <c r="L599" s="29"/>
    </row>
    <row r="600">
      <c r="B600" s="2"/>
      <c r="C600" s="2"/>
      <c r="D600" s="2"/>
      <c r="E600" s="2"/>
      <c r="F600" s="2"/>
      <c r="G600" s="2"/>
      <c r="L600" s="29"/>
    </row>
    <row r="601">
      <c r="B601" s="2"/>
      <c r="C601" s="2"/>
      <c r="D601" s="2"/>
      <c r="E601" s="2"/>
      <c r="F601" s="2"/>
      <c r="G601" s="2"/>
      <c r="L601" s="29"/>
    </row>
    <row r="602">
      <c r="B602" s="2"/>
      <c r="C602" s="2"/>
      <c r="D602" s="2"/>
      <c r="E602" s="2"/>
      <c r="F602" s="2"/>
      <c r="G602" s="2"/>
      <c r="L602" s="29"/>
    </row>
    <row r="603">
      <c r="B603" s="2"/>
      <c r="C603" s="2"/>
      <c r="D603" s="2"/>
      <c r="E603" s="2"/>
      <c r="F603" s="2"/>
      <c r="G603" s="2"/>
      <c r="L603" s="29"/>
    </row>
    <row r="604">
      <c r="B604" s="2"/>
      <c r="C604" s="2"/>
      <c r="D604" s="2"/>
      <c r="E604" s="2"/>
      <c r="F604" s="2"/>
      <c r="G604" s="2"/>
      <c r="L604" s="29"/>
    </row>
    <row r="605">
      <c r="B605" s="2"/>
      <c r="C605" s="2"/>
      <c r="D605" s="2"/>
      <c r="E605" s="2"/>
      <c r="F605" s="2"/>
      <c r="G605" s="2"/>
      <c r="L605" s="29"/>
    </row>
    <row r="606">
      <c r="B606" s="2"/>
      <c r="C606" s="2"/>
      <c r="D606" s="2"/>
      <c r="E606" s="2"/>
      <c r="F606" s="2"/>
      <c r="G606" s="2"/>
      <c r="L606" s="29"/>
    </row>
    <row r="607">
      <c r="B607" s="2"/>
      <c r="C607" s="2"/>
      <c r="D607" s="2"/>
      <c r="E607" s="2"/>
      <c r="F607" s="2"/>
      <c r="G607" s="2"/>
      <c r="L607" s="29"/>
    </row>
    <row r="608">
      <c r="B608" s="2"/>
      <c r="C608" s="2"/>
      <c r="D608" s="2"/>
      <c r="E608" s="2"/>
      <c r="F608" s="2"/>
      <c r="G608" s="2"/>
      <c r="L608" s="29"/>
    </row>
    <row r="609">
      <c r="B609" s="2"/>
      <c r="C609" s="2"/>
      <c r="D609" s="2"/>
      <c r="E609" s="2"/>
      <c r="F609" s="2"/>
      <c r="G609" s="2"/>
      <c r="L609" s="29"/>
    </row>
    <row r="610">
      <c r="B610" s="2"/>
      <c r="C610" s="2"/>
      <c r="D610" s="2"/>
      <c r="E610" s="2"/>
      <c r="F610" s="2"/>
      <c r="G610" s="2"/>
      <c r="L610" s="29"/>
    </row>
    <row r="611">
      <c r="B611" s="2"/>
      <c r="C611" s="2"/>
      <c r="D611" s="2"/>
      <c r="E611" s="2"/>
      <c r="F611" s="2"/>
      <c r="G611" s="2"/>
      <c r="L611" s="29"/>
    </row>
    <row r="612">
      <c r="B612" s="2"/>
      <c r="C612" s="2"/>
      <c r="D612" s="2"/>
      <c r="E612" s="2"/>
      <c r="F612" s="2"/>
      <c r="G612" s="2"/>
      <c r="L612" s="29"/>
    </row>
    <row r="613">
      <c r="B613" s="2"/>
      <c r="C613" s="2"/>
      <c r="D613" s="2"/>
      <c r="E613" s="2"/>
      <c r="F613" s="2"/>
      <c r="G613" s="2"/>
      <c r="L613" s="29"/>
    </row>
    <row r="614">
      <c r="B614" s="2"/>
      <c r="C614" s="2"/>
      <c r="D614" s="2"/>
      <c r="E614" s="2"/>
      <c r="F614" s="2"/>
      <c r="G614" s="2"/>
      <c r="L614" s="29"/>
    </row>
    <row r="615">
      <c r="B615" s="2"/>
      <c r="C615" s="2"/>
      <c r="D615" s="2"/>
      <c r="E615" s="2"/>
      <c r="F615" s="2"/>
      <c r="G615" s="2"/>
      <c r="L615" s="29"/>
    </row>
    <row r="616">
      <c r="B616" s="2"/>
      <c r="C616" s="2"/>
      <c r="D616" s="2"/>
      <c r="E616" s="2"/>
      <c r="F616" s="2"/>
      <c r="G616" s="2"/>
      <c r="L616" s="29"/>
    </row>
    <row r="617">
      <c r="B617" s="2"/>
      <c r="C617" s="2"/>
      <c r="D617" s="2"/>
      <c r="E617" s="2"/>
      <c r="F617" s="2"/>
      <c r="G617" s="2"/>
      <c r="L617" s="29"/>
    </row>
    <row r="618">
      <c r="B618" s="2"/>
      <c r="C618" s="2"/>
      <c r="D618" s="2"/>
      <c r="E618" s="2"/>
      <c r="F618" s="2"/>
      <c r="G618" s="2"/>
      <c r="L618" s="29"/>
    </row>
    <row r="619">
      <c r="B619" s="2"/>
      <c r="C619" s="2"/>
      <c r="D619" s="2"/>
      <c r="E619" s="2"/>
      <c r="F619" s="2"/>
      <c r="G619" s="2"/>
      <c r="L619" s="29"/>
    </row>
    <row r="620">
      <c r="B620" s="2"/>
      <c r="C620" s="2"/>
      <c r="D620" s="2"/>
      <c r="E620" s="2"/>
      <c r="F620" s="2"/>
      <c r="G620" s="2"/>
      <c r="L620" s="29"/>
    </row>
    <row r="621">
      <c r="B621" s="2"/>
      <c r="C621" s="2"/>
      <c r="D621" s="2"/>
      <c r="E621" s="2"/>
      <c r="F621" s="2"/>
      <c r="G621" s="2"/>
      <c r="L621" s="29"/>
    </row>
    <row r="622">
      <c r="B622" s="2"/>
      <c r="C622" s="2"/>
      <c r="D622" s="2"/>
      <c r="E622" s="2"/>
      <c r="F622" s="2"/>
      <c r="G622" s="2"/>
      <c r="L622" s="29"/>
    </row>
    <row r="623">
      <c r="B623" s="2"/>
      <c r="C623" s="2"/>
      <c r="D623" s="2"/>
      <c r="E623" s="2"/>
      <c r="F623" s="2"/>
      <c r="G623" s="2"/>
      <c r="L623" s="29"/>
    </row>
    <row r="624">
      <c r="B624" s="2"/>
      <c r="C624" s="2"/>
      <c r="D624" s="2"/>
      <c r="E624" s="2"/>
      <c r="F624" s="2"/>
      <c r="G624" s="2"/>
      <c r="L624" s="29"/>
    </row>
    <row r="625">
      <c r="B625" s="2"/>
      <c r="C625" s="2"/>
      <c r="D625" s="2"/>
      <c r="E625" s="2"/>
      <c r="F625" s="2"/>
      <c r="G625" s="2"/>
      <c r="L625" s="29"/>
    </row>
    <row r="626">
      <c r="B626" s="2"/>
      <c r="C626" s="2"/>
      <c r="D626" s="2"/>
      <c r="E626" s="2"/>
      <c r="F626" s="2"/>
      <c r="G626" s="2"/>
      <c r="L626" s="29"/>
    </row>
    <row r="627">
      <c r="B627" s="2"/>
      <c r="C627" s="2"/>
      <c r="D627" s="2"/>
      <c r="E627" s="2"/>
      <c r="F627" s="2"/>
      <c r="G627" s="2"/>
      <c r="L627" s="29"/>
    </row>
    <row r="628">
      <c r="B628" s="2"/>
      <c r="C628" s="2"/>
      <c r="D628" s="2"/>
      <c r="E628" s="2"/>
      <c r="F628" s="2"/>
      <c r="G628" s="2"/>
      <c r="L628" s="29"/>
    </row>
    <row r="629">
      <c r="B629" s="2"/>
      <c r="C629" s="2"/>
      <c r="D629" s="2"/>
      <c r="E629" s="2"/>
      <c r="F629" s="2"/>
      <c r="G629" s="2"/>
      <c r="L629" s="29"/>
    </row>
    <row r="630">
      <c r="B630" s="2"/>
      <c r="C630" s="2"/>
      <c r="D630" s="2"/>
      <c r="E630" s="2"/>
      <c r="F630" s="2"/>
      <c r="G630" s="2"/>
      <c r="L630" s="29"/>
    </row>
    <row r="631">
      <c r="B631" s="2"/>
      <c r="C631" s="2"/>
      <c r="D631" s="2"/>
      <c r="E631" s="2"/>
      <c r="F631" s="2"/>
      <c r="G631" s="2"/>
      <c r="L631" s="29"/>
    </row>
    <row r="632">
      <c r="B632" s="2"/>
      <c r="C632" s="2"/>
      <c r="D632" s="2"/>
      <c r="E632" s="2"/>
      <c r="F632" s="2"/>
      <c r="G632" s="2"/>
      <c r="L632" s="29"/>
    </row>
    <row r="633">
      <c r="B633" s="2"/>
      <c r="C633" s="2"/>
      <c r="D633" s="2"/>
      <c r="E633" s="2"/>
      <c r="F633" s="2"/>
      <c r="G633" s="2"/>
      <c r="L633" s="29"/>
    </row>
    <row r="634">
      <c r="B634" s="2"/>
      <c r="C634" s="2"/>
      <c r="D634" s="2"/>
      <c r="E634" s="2"/>
      <c r="F634" s="2"/>
      <c r="G634" s="2"/>
      <c r="L634" s="29"/>
    </row>
    <row r="635">
      <c r="B635" s="2"/>
      <c r="C635" s="2"/>
      <c r="D635" s="2"/>
      <c r="E635" s="2"/>
      <c r="F635" s="2"/>
      <c r="G635" s="2"/>
      <c r="L635" s="29"/>
    </row>
    <row r="636">
      <c r="B636" s="2"/>
      <c r="C636" s="2"/>
      <c r="D636" s="2"/>
      <c r="E636" s="2"/>
      <c r="F636" s="2"/>
      <c r="G636" s="2"/>
      <c r="L636" s="29"/>
    </row>
    <row r="637">
      <c r="B637" s="2"/>
      <c r="C637" s="2"/>
      <c r="D637" s="2"/>
      <c r="E637" s="2"/>
      <c r="F637" s="2"/>
      <c r="G637" s="2"/>
      <c r="L637" s="29"/>
    </row>
    <row r="638">
      <c r="B638" s="2"/>
      <c r="C638" s="2"/>
      <c r="D638" s="2"/>
      <c r="E638" s="2"/>
      <c r="F638" s="2"/>
      <c r="G638" s="2"/>
      <c r="L638" s="29"/>
    </row>
    <row r="639">
      <c r="B639" s="2"/>
      <c r="C639" s="2"/>
      <c r="D639" s="2"/>
      <c r="E639" s="2"/>
      <c r="F639" s="2"/>
      <c r="G639" s="2"/>
      <c r="L639" s="29"/>
    </row>
    <row r="640">
      <c r="B640" s="2"/>
      <c r="C640" s="2"/>
      <c r="D640" s="2"/>
      <c r="E640" s="2"/>
      <c r="F640" s="2"/>
      <c r="G640" s="2"/>
      <c r="L640" s="29"/>
    </row>
    <row r="641">
      <c r="B641" s="2"/>
      <c r="C641" s="2"/>
      <c r="D641" s="2"/>
      <c r="E641" s="2"/>
      <c r="F641" s="2"/>
      <c r="G641" s="2"/>
      <c r="L641" s="29"/>
    </row>
    <row r="642">
      <c r="B642" s="2"/>
      <c r="C642" s="2"/>
      <c r="D642" s="2"/>
      <c r="E642" s="2"/>
      <c r="F642" s="2"/>
      <c r="G642" s="2"/>
      <c r="L642" s="29"/>
    </row>
    <row r="643">
      <c r="B643" s="2"/>
      <c r="C643" s="2"/>
      <c r="D643" s="2"/>
      <c r="E643" s="2"/>
      <c r="F643" s="2"/>
      <c r="G643" s="2"/>
      <c r="L643" s="29"/>
    </row>
    <row r="644">
      <c r="B644" s="2"/>
      <c r="C644" s="2"/>
      <c r="D644" s="2"/>
      <c r="E644" s="2"/>
      <c r="F644" s="2"/>
      <c r="G644" s="2"/>
      <c r="L644" s="29"/>
    </row>
    <row r="645">
      <c r="B645" s="2"/>
      <c r="C645" s="2"/>
      <c r="D645" s="2"/>
      <c r="E645" s="2"/>
      <c r="F645" s="2"/>
      <c r="G645" s="2"/>
      <c r="L645" s="29"/>
    </row>
    <row r="646">
      <c r="B646" s="2"/>
      <c r="C646" s="2"/>
      <c r="D646" s="2"/>
      <c r="E646" s="2"/>
      <c r="F646" s="2"/>
      <c r="G646" s="2"/>
      <c r="L646" s="29"/>
    </row>
    <row r="647">
      <c r="B647" s="2"/>
      <c r="C647" s="2"/>
      <c r="D647" s="2"/>
      <c r="E647" s="2"/>
      <c r="F647" s="2"/>
      <c r="G647" s="2"/>
      <c r="L647" s="29"/>
    </row>
    <row r="648">
      <c r="B648" s="2"/>
      <c r="C648" s="2"/>
      <c r="D648" s="2"/>
      <c r="E648" s="2"/>
      <c r="F648" s="2"/>
      <c r="G648" s="2"/>
      <c r="L648" s="29"/>
    </row>
    <row r="649">
      <c r="B649" s="2"/>
      <c r="C649" s="2"/>
      <c r="D649" s="2"/>
      <c r="E649" s="2"/>
      <c r="F649" s="2"/>
      <c r="G649" s="2"/>
      <c r="L649" s="29"/>
    </row>
    <row r="650">
      <c r="B650" s="2"/>
      <c r="C650" s="2"/>
      <c r="D650" s="2"/>
      <c r="E650" s="2"/>
      <c r="F650" s="2"/>
      <c r="G650" s="2"/>
      <c r="L650" s="29"/>
    </row>
    <row r="651">
      <c r="B651" s="2"/>
      <c r="C651" s="2"/>
      <c r="D651" s="2"/>
      <c r="E651" s="2"/>
      <c r="F651" s="2"/>
      <c r="G651" s="2"/>
      <c r="L651" s="29"/>
    </row>
    <row r="652">
      <c r="B652" s="2"/>
      <c r="C652" s="2"/>
      <c r="D652" s="2"/>
      <c r="E652" s="2"/>
      <c r="F652" s="2"/>
      <c r="G652" s="2"/>
      <c r="L652" s="29"/>
    </row>
    <row r="653">
      <c r="B653" s="2"/>
      <c r="C653" s="2"/>
      <c r="D653" s="2"/>
      <c r="E653" s="2"/>
      <c r="F653" s="2"/>
      <c r="G653" s="2"/>
      <c r="L653" s="29"/>
    </row>
    <row r="654">
      <c r="B654" s="2"/>
      <c r="C654" s="2"/>
      <c r="D654" s="2"/>
      <c r="E654" s="2"/>
      <c r="F654" s="2"/>
      <c r="G654" s="2"/>
      <c r="L654" s="29"/>
    </row>
    <row r="655">
      <c r="B655" s="2"/>
      <c r="C655" s="2"/>
      <c r="D655" s="2"/>
      <c r="E655" s="2"/>
      <c r="F655" s="2"/>
      <c r="G655" s="2"/>
      <c r="L655" s="29"/>
    </row>
    <row r="656">
      <c r="B656" s="2"/>
      <c r="C656" s="2"/>
      <c r="D656" s="2"/>
      <c r="E656" s="2"/>
      <c r="F656" s="2"/>
      <c r="G656" s="2"/>
      <c r="L656" s="29"/>
    </row>
    <row r="657">
      <c r="B657" s="2"/>
      <c r="C657" s="2"/>
      <c r="D657" s="2"/>
      <c r="E657" s="2"/>
      <c r="F657" s="2"/>
      <c r="G657" s="2"/>
      <c r="L657" s="29"/>
    </row>
    <row r="658">
      <c r="B658" s="2"/>
      <c r="C658" s="2"/>
      <c r="D658" s="2"/>
      <c r="E658" s="2"/>
      <c r="F658" s="2"/>
      <c r="G658" s="2"/>
      <c r="L658" s="29"/>
    </row>
    <row r="659">
      <c r="B659" s="2"/>
      <c r="C659" s="2"/>
      <c r="D659" s="2"/>
      <c r="E659" s="2"/>
      <c r="F659" s="2"/>
      <c r="G659" s="2"/>
      <c r="L659" s="29"/>
    </row>
    <row r="660">
      <c r="B660" s="2"/>
      <c r="C660" s="2"/>
      <c r="D660" s="2"/>
      <c r="E660" s="2"/>
      <c r="F660" s="2"/>
      <c r="G660" s="2"/>
      <c r="L660" s="29"/>
    </row>
    <row r="661">
      <c r="B661" s="2"/>
      <c r="C661" s="2"/>
      <c r="D661" s="2"/>
      <c r="E661" s="2"/>
      <c r="F661" s="2"/>
      <c r="G661" s="2"/>
      <c r="L661" s="29"/>
    </row>
    <row r="662">
      <c r="B662" s="2"/>
      <c r="C662" s="2"/>
      <c r="D662" s="2"/>
      <c r="E662" s="2"/>
      <c r="F662" s="2"/>
      <c r="G662" s="2"/>
      <c r="L662" s="29"/>
    </row>
    <row r="663">
      <c r="B663" s="2"/>
      <c r="C663" s="2"/>
      <c r="D663" s="2"/>
      <c r="E663" s="2"/>
      <c r="F663" s="2"/>
      <c r="G663" s="2"/>
      <c r="L663" s="29"/>
    </row>
    <row r="664">
      <c r="B664" s="2"/>
      <c r="C664" s="2"/>
      <c r="D664" s="2"/>
      <c r="E664" s="2"/>
      <c r="F664" s="2"/>
      <c r="G664" s="2"/>
      <c r="L664" s="29"/>
    </row>
    <row r="665">
      <c r="B665" s="2"/>
      <c r="C665" s="2"/>
      <c r="D665" s="2"/>
      <c r="E665" s="2"/>
      <c r="F665" s="2"/>
      <c r="G665" s="2"/>
      <c r="L665" s="29"/>
    </row>
    <row r="666">
      <c r="B666" s="2"/>
      <c r="C666" s="2"/>
      <c r="D666" s="2"/>
      <c r="E666" s="2"/>
      <c r="F666" s="2"/>
      <c r="G666" s="2"/>
      <c r="L666" s="29"/>
    </row>
    <row r="667">
      <c r="B667" s="2"/>
      <c r="C667" s="2"/>
      <c r="D667" s="2"/>
      <c r="E667" s="2"/>
      <c r="F667" s="2"/>
      <c r="G667" s="2"/>
      <c r="L667" s="29"/>
    </row>
    <row r="668">
      <c r="B668" s="2"/>
      <c r="C668" s="2"/>
      <c r="D668" s="2"/>
      <c r="E668" s="2"/>
      <c r="F668" s="2"/>
      <c r="G668" s="2"/>
      <c r="L668" s="29"/>
    </row>
    <row r="669">
      <c r="B669" s="2"/>
      <c r="C669" s="2"/>
      <c r="D669" s="2"/>
      <c r="E669" s="2"/>
      <c r="F669" s="2"/>
      <c r="G669" s="2"/>
      <c r="L669" s="29"/>
    </row>
    <row r="670">
      <c r="B670" s="2"/>
      <c r="C670" s="2"/>
      <c r="D670" s="2"/>
      <c r="E670" s="2"/>
      <c r="F670" s="2"/>
      <c r="G670" s="2"/>
      <c r="L670" s="29"/>
    </row>
    <row r="671">
      <c r="B671" s="2"/>
      <c r="C671" s="2"/>
      <c r="D671" s="2"/>
      <c r="E671" s="2"/>
      <c r="F671" s="2"/>
      <c r="G671" s="2"/>
      <c r="L671" s="29"/>
    </row>
    <row r="672">
      <c r="B672" s="2"/>
      <c r="C672" s="2"/>
      <c r="D672" s="2"/>
      <c r="E672" s="2"/>
      <c r="F672" s="2"/>
      <c r="G672" s="2"/>
      <c r="L672" s="29"/>
    </row>
    <row r="673">
      <c r="B673" s="2"/>
      <c r="C673" s="2"/>
      <c r="D673" s="2"/>
      <c r="E673" s="2"/>
      <c r="F673" s="2"/>
      <c r="G673" s="2"/>
      <c r="L673" s="29"/>
    </row>
    <row r="674">
      <c r="B674" s="2"/>
      <c r="C674" s="2"/>
      <c r="D674" s="2"/>
      <c r="E674" s="2"/>
      <c r="F674" s="2"/>
      <c r="G674" s="2"/>
      <c r="L674" s="29"/>
    </row>
    <row r="675">
      <c r="B675" s="2"/>
      <c r="C675" s="2"/>
      <c r="D675" s="2"/>
      <c r="E675" s="2"/>
      <c r="F675" s="2"/>
      <c r="G675" s="2"/>
      <c r="L675" s="29"/>
    </row>
    <row r="676">
      <c r="B676" s="2"/>
      <c r="C676" s="2"/>
      <c r="D676" s="2"/>
      <c r="E676" s="2"/>
      <c r="F676" s="2"/>
      <c r="G676" s="2"/>
      <c r="L676" s="29"/>
    </row>
    <row r="677">
      <c r="B677" s="2"/>
      <c r="C677" s="2"/>
      <c r="D677" s="2"/>
      <c r="E677" s="2"/>
      <c r="F677" s="2"/>
      <c r="G677" s="2"/>
      <c r="L677" s="29"/>
    </row>
    <row r="678">
      <c r="B678" s="2"/>
      <c r="C678" s="2"/>
      <c r="D678" s="2"/>
      <c r="E678" s="2"/>
      <c r="F678" s="2"/>
      <c r="G678" s="2"/>
      <c r="L678" s="29"/>
    </row>
    <row r="679">
      <c r="B679" s="2"/>
      <c r="C679" s="2"/>
      <c r="D679" s="2"/>
      <c r="E679" s="2"/>
      <c r="F679" s="2"/>
      <c r="G679" s="2"/>
      <c r="L679" s="29"/>
    </row>
    <row r="680">
      <c r="B680" s="2"/>
      <c r="C680" s="2"/>
      <c r="D680" s="2"/>
      <c r="E680" s="2"/>
      <c r="F680" s="2"/>
      <c r="G680" s="2"/>
      <c r="L680" s="29"/>
    </row>
    <row r="681">
      <c r="B681" s="2"/>
      <c r="C681" s="2"/>
      <c r="D681" s="2"/>
      <c r="E681" s="2"/>
      <c r="F681" s="2"/>
      <c r="G681" s="2"/>
      <c r="L681" s="29"/>
    </row>
    <row r="682">
      <c r="B682" s="2"/>
      <c r="C682" s="2"/>
      <c r="D682" s="2"/>
      <c r="E682" s="2"/>
      <c r="F682" s="2"/>
      <c r="G682" s="2"/>
      <c r="L682" s="29"/>
    </row>
    <row r="683">
      <c r="B683" s="2"/>
      <c r="C683" s="2"/>
      <c r="D683" s="2"/>
      <c r="E683" s="2"/>
      <c r="F683" s="2"/>
      <c r="G683" s="2"/>
      <c r="L683" s="29"/>
    </row>
    <row r="684">
      <c r="B684" s="2"/>
      <c r="C684" s="2"/>
      <c r="D684" s="2"/>
      <c r="E684" s="2"/>
      <c r="F684" s="2"/>
      <c r="G684" s="2"/>
      <c r="L684" s="29"/>
    </row>
    <row r="685">
      <c r="B685" s="2"/>
      <c r="C685" s="2"/>
      <c r="D685" s="2"/>
      <c r="E685" s="2"/>
      <c r="F685" s="2"/>
      <c r="G685" s="2"/>
      <c r="L685" s="29"/>
    </row>
    <row r="686">
      <c r="B686" s="2"/>
      <c r="C686" s="2"/>
      <c r="D686" s="2"/>
      <c r="E686" s="2"/>
      <c r="F686" s="2"/>
      <c r="G686" s="2"/>
      <c r="L686" s="29"/>
    </row>
    <row r="687">
      <c r="B687" s="2"/>
      <c r="C687" s="2"/>
      <c r="D687" s="2"/>
      <c r="E687" s="2"/>
      <c r="F687" s="2"/>
      <c r="G687" s="2"/>
      <c r="L687" s="29"/>
    </row>
    <row r="688">
      <c r="B688" s="2"/>
      <c r="C688" s="2"/>
      <c r="D688" s="2"/>
      <c r="E688" s="2"/>
      <c r="F688" s="2"/>
      <c r="G688" s="2"/>
      <c r="L688" s="29"/>
    </row>
    <row r="689">
      <c r="B689" s="2"/>
      <c r="C689" s="2"/>
      <c r="D689" s="2"/>
      <c r="E689" s="2"/>
      <c r="F689" s="2"/>
      <c r="G689" s="2"/>
      <c r="L689" s="29"/>
    </row>
    <row r="690">
      <c r="B690" s="2"/>
      <c r="C690" s="2"/>
      <c r="D690" s="2"/>
      <c r="E690" s="2"/>
      <c r="F690" s="2"/>
      <c r="G690" s="2"/>
      <c r="L690" s="29"/>
    </row>
    <row r="691">
      <c r="B691" s="2"/>
      <c r="C691" s="2"/>
      <c r="D691" s="2"/>
      <c r="E691" s="2"/>
      <c r="F691" s="2"/>
      <c r="G691" s="2"/>
      <c r="L691" s="29"/>
    </row>
    <row r="692">
      <c r="B692" s="2"/>
      <c r="C692" s="2"/>
      <c r="D692" s="2"/>
      <c r="E692" s="2"/>
      <c r="F692" s="2"/>
      <c r="G692" s="2"/>
      <c r="L692" s="29"/>
    </row>
    <row r="693">
      <c r="B693" s="2"/>
      <c r="C693" s="2"/>
      <c r="D693" s="2"/>
      <c r="E693" s="2"/>
      <c r="F693" s="2"/>
      <c r="G693" s="2"/>
      <c r="L693" s="29"/>
    </row>
    <row r="694">
      <c r="B694" s="2"/>
      <c r="C694" s="2"/>
      <c r="D694" s="2"/>
      <c r="E694" s="2"/>
      <c r="F694" s="2"/>
      <c r="G694" s="2"/>
      <c r="L694" s="29"/>
    </row>
    <row r="695">
      <c r="B695" s="2"/>
      <c r="C695" s="2"/>
      <c r="D695" s="2"/>
      <c r="E695" s="2"/>
      <c r="F695" s="2"/>
      <c r="G695" s="2"/>
      <c r="L695" s="29"/>
    </row>
    <row r="696">
      <c r="B696" s="2"/>
      <c r="C696" s="2"/>
      <c r="D696" s="2"/>
      <c r="E696" s="2"/>
      <c r="F696" s="2"/>
      <c r="G696" s="2"/>
      <c r="L696" s="29"/>
    </row>
    <row r="697">
      <c r="B697" s="2"/>
      <c r="C697" s="2"/>
      <c r="D697" s="2"/>
      <c r="E697" s="2"/>
      <c r="F697" s="2"/>
      <c r="G697" s="2"/>
      <c r="L697" s="29"/>
    </row>
    <row r="698">
      <c r="B698" s="2"/>
      <c r="C698" s="2"/>
      <c r="D698" s="2"/>
      <c r="E698" s="2"/>
      <c r="F698" s="2"/>
      <c r="G698" s="2"/>
      <c r="L698" s="29"/>
    </row>
    <row r="699">
      <c r="B699" s="2"/>
      <c r="C699" s="2"/>
      <c r="D699" s="2"/>
      <c r="E699" s="2"/>
      <c r="F699" s="2"/>
      <c r="G699" s="2"/>
      <c r="L699" s="29"/>
    </row>
    <row r="700">
      <c r="B700" s="2"/>
      <c r="C700" s="2"/>
      <c r="D700" s="2"/>
      <c r="E700" s="2"/>
      <c r="F700" s="2"/>
      <c r="G700" s="2"/>
      <c r="L700" s="29"/>
    </row>
    <row r="701">
      <c r="B701" s="2"/>
      <c r="C701" s="2"/>
      <c r="D701" s="2"/>
      <c r="E701" s="2"/>
      <c r="F701" s="2"/>
      <c r="G701" s="2"/>
      <c r="L701" s="29"/>
    </row>
    <row r="702">
      <c r="B702" s="2"/>
      <c r="C702" s="2"/>
      <c r="D702" s="2"/>
      <c r="E702" s="2"/>
      <c r="F702" s="2"/>
      <c r="G702" s="2"/>
      <c r="L702" s="29"/>
    </row>
    <row r="703">
      <c r="B703" s="2"/>
      <c r="C703" s="2"/>
      <c r="D703" s="2"/>
      <c r="E703" s="2"/>
      <c r="F703" s="2"/>
      <c r="G703" s="2"/>
      <c r="L703" s="29"/>
    </row>
    <row r="704">
      <c r="B704" s="2"/>
      <c r="C704" s="2"/>
      <c r="D704" s="2"/>
      <c r="E704" s="2"/>
      <c r="F704" s="2"/>
      <c r="G704" s="2"/>
      <c r="L704" s="29"/>
    </row>
    <row r="705">
      <c r="B705" s="2"/>
      <c r="C705" s="2"/>
      <c r="D705" s="2"/>
      <c r="E705" s="2"/>
      <c r="F705" s="2"/>
      <c r="G705" s="2"/>
      <c r="L705" s="29"/>
    </row>
    <row r="706">
      <c r="B706" s="2"/>
      <c r="C706" s="2"/>
      <c r="D706" s="2"/>
      <c r="E706" s="2"/>
      <c r="F706" s="2"/>
      <c r="G706" s="2"/>
      <c r="L706" s="29"/>
    </row>
    <row r="707">
      <c r="B707" s="2"/>
      <c r="C707" s="2"/>
      <c r="D707" s="2"/>
      <c r="E707" s="2"/>
      <c r="F707" s="2"/>
      <c r="G707" s="2"/>
      <c r="L707" s="29"/>
    </row>
    <row r="708">
      <c r="B708" s="2"/>
      <c r="C708" s="2"/>
      <c r="D708" s="2"/>
      <c r="E708" s="2"/>
      <c r="F708" s="2"/>
      <c r="G708" s="2"/>
      <c r="L708" s="29"/>
    </row>
    <row r="709">
      <c r="B709" s="2"/>
      <c r="C709" s="2"/>
      <c r="D709" s="2"/>
      <c r="E709" s="2"/>
      <c r="F709" s="2"/>
      <c r="G709" s="2"/>
      <c r="L709" s="29"/>
    </row>
    <row r="710">
      <c r="B710" s="2"/>
      <c r="C710" s="2"/>
      <c r="D710" s="2"/>
      <c r="E710" s="2"/>
      <c r="F710" s="2"/>
      <c r="G710" s="2"/>
      <c r="L710" s="29"/>
    </row>
    <row r="711">
      <c r="B711" s="2"/>
      <c r="C711" s="2"/>
      <c r="D711" s="2"/>
      <c r="E711" s="2"/>
      <c r="F711" s="2"/>
      <c r="G711" s="2"/>
      <c r="L711" s="29"/>
    </row>
    <row r="712">
      <c r="B712" s="2"/>
      <c r="C712" s="2"/>
      <c r="D712" s="2"/>
      <c r="E712" s="2"/>
      <c r="F712" s="2"/>
      <c r="G712" s="2"/>
      <c r="L712" s="29"/>
    </row>
    <row r="713">
      <c r="B713" s="2"/>
      <c r="C713" s="2"/>
      <c r="D713" s="2"/>
      <c r="E713" s="2"/>
      <c r="F713" s="2"/>
      <c r="G713" s="2"/>
      <c r="L713" s="29"/>
    </row>
    <row r="714">
      <c r="B714" s="2"/>
      <c r="C714" s="2"/>
      <c r="D714" s="2"/>
      <c r="E714" s="2"/>
      <c r="F714" s="2"/>
      <c r="G714" s="2"/>
      <c r="L714" s="29"/>
    </row>
    <row r="715">
      <c r="B715" s="2"/>
      <c r="C715" s="2"/>
      <c r="D715" s="2"/>
      <c r="E715" s="2"/>
      <c r="F715" s="2"/>
      <c r="G715" s="2"/>
      <c r="L715" s="29"/>
    </row>
    <row r="716">
      <c r="B716" s="2"/>
      <c r="C716" s="2"/>
      <c r="D716" s="2"/>
      <c r="E716" s="2"/>
      <c r="F716" s="2"/>
      <c r="G716" s="2"/>
      <c r="L716" s="29"/>
    </row>
    <row r="717">
      <c r="B717" s="2"/>
      <c r="C717" s="2"/>
      <c r="D717" s="2"/>
      <c r="E717" s="2"/>
      <c r="F717" s="2"/>
      <c r="G717" s="2"/>
      <c r="L717" s="29"/>
    </row>
    <row r="718">
      <c r="B718" s="2"/>
      <c r="C718" s="2"/>
      <c r="D718" s="2"/>
      <c r="E718" s="2"/>
      <c r="F718" s="2"/>
      <c r="G718" s="2"/>
      <c r="L718" s="29"/>
    </row>
    <row r="719">
      <c r="B719" s="2"/>
      <c r="C719" s="2"/>
      <c r="D719" s="2"/>
      <c r="E719" s="2"/>
      <c r="F719" s="2"/>
      <c r="G719" s="2"/>
      <c r="L719" s="29"/>
    </row>
    <row r="720">
      <c r="B720" s="2"/>
      <c r="C720" s="2"/>
      <c r="D720" s="2"/>
      <c r="E720" s="2"/>
      <c r="F720" s="2"/>
      <c r="G720" s="2"/>
      <c r="L720" s="29"/>
    </row>
    <row r="721">
      <c r="B721" s="2"/>
      <c r="C721" s="2"/>
      <c r="D721" s="2"/>
      <c r="E721" s="2"/>
      <c r="F721" s="2"/>
      <c r="G721" s="2"/>
      <c r="L721" s="29"/>
    </row>
    <row r="722">
      <c r="B722" s="2"/>
      <c r="C722" s="2"/>
      <c r="D722" s="2"/>
      <c r="E722" s="2"/>
      <c r="F722" s="2"/>
      <c r="G722" s="2"/>
      <c r="L722" s="29"/>
    </row>
    <row r="723">
      <c r="B723" s="2"/>
      <c r="C723" s="2"/>
      <c r="D723" s="2"/>
      <c r="E723" s="2"/>
      <c r="F723" s="2"/>
      <c r="G723" s="2"/>
      <c r="L723" s="29"/>
    </row>
    <row r="724">
      <c r="B724" s="2"/>
      <c r="C724" s="2"/>
      <c r="D724" s="2"/>
      <c r="E724" s="2"/>
      <c r="F724" s="2"/>
      <c r="G724" s="2"/>
      <c r="L724" s="29"/>
    </row>
    <row r="725">
      <c r="B725" s="2"/>
      <c r="C725" s="2"/>
      <c r="D725" s="2"/>
      <c r="E725" s="2"/>
      <c r="F725" s="2"/>
      <c r="G725" s="2"/>
      <c r="L725" s="29"/>
    </row>
    <row r="726">
      <c r="B726" s="2"/>
      <c r="C726" s="2"/>
      <c r="D726" s="2"/>
      <c r="E726" s="2"/>
      <c r="F726" s="2"/>
      <c r="G726" s="2"/>
      <c r="L726" s="29"/>
    </row>
    <row r="727">
      <c r="B727" s="2"/>
      <c r="C727" s="2"/>
      <c r="D727" s="2"/>
      <c r="E727" s="2"/>
      <c r="F727" s="2"/>
      <c r="G727" s="2"/>
      <c r="L727" s="29"/>
    </row>
    <row r="728">
      <c r="B728" s="2"/>
      <c r="C728" s="2"/>
      <c r="D728" s="2"/>
      <c r="E728" s="2"/>
      <c r="F728" s="2"/>
      <c r="G728" s="2"/>
      <c r="L728" s="29"/>
    </row>
    <row r="729">
      <c r="B729" s="2"/>
      <c r="C729" s="2"/>
      <c r="D729" s="2"/>
      <c r="E729" s="2"/>
      <c r="F729" s="2"/>
      <c r="G729" s="2"/>
      <c r="L729" s="29"/>
    </row>
    <row r="730">
      <c r="B730" s="2"/>
      <c r="C730" s="2"/>
      <c r="D730" s="2"/>
      <c r="E730" s="2"/>
      <c r="F730" s="2"/>
      <c r="G730" s="2"/>
      <c r="L730" s="29"/>
    </row>
    <row r="731">
      <c r="B731" s="2"/>
      <c r="C731" s="2"/>
      <c r="D731" s="2"/>
      <c r="E731" s="2"/>
      <c r="F731" s="2"/>
      <c r="G731" s="2"/>
      <c r="L731" s="29"/>
    </row>
    <row r="732">
      <c r="B732" s="2"/>
      <c r="C732" s="2"/>
      <c r="D732" s="2"/>
      <c r="E732" s="2"/>
      <c r="F732" s="2"/>
      <c r="G732" s="2"/>
      <c r="L732" s="29"/>
    </row>
    <row r="733">
      <c r="B733" s="2"/>
      <c r="C733" s="2"/>
      <c r="D733" s="2"/>
      <c r="E733" s="2"/>
      <c r="F733" s="2"/>
      <c r="G733" s="2"/>
      <c r="L733" s="29"/>
    </row>
    <row r="734">
      <c r="B734" s="2"/>
      <c r="C734" s="2"/>
      <c r="D734" s="2"/>
      <c r="E734" s="2"/>
      <c r="F734" s="2"/>
      <c r="G734" s="2"/>
      <c r="L734" s="29"/>
    </row>
    <row r="735">
      <c r="B735" s="2"/>
      <c r="C735" s="2"/>
      <c r="D735" s="2"/>
      <c r="E735" s="2"/>
      <c r="F735" s="2"/>
      <c r="G735" s="2"/>
      <c r="L735" s="29"/>
    </row>
    <row r="736">
      <c r="B736" s="2"/>
      <c r="C736" s="2"/>
      <c r="D736" s="2"/>
      <c r="E736" s="2"/>
      <c r="F736" s="2"/>
      <c r="G736" s="2"/>
      <c r="L736" s="29"/>
    </row>
    <row r="737">
      <c r="B737" s="2"/>
      <c r="C737" s="2"/>
      <c r="D737" s="2"/>
      <c r="E737" s="2"/>
      <c r="F737" s="2"/>
      <c r="G737" s="2"/>
      <c r="L737" s="29"/>
    </row>
    <row r="738">
      <c r="B738" s="2"/>
      <c r="C738" s="2"/>
      <c r="D738" s="2"/>
      <c r="E738" s="2"/>
      <c r="F738" s="2"/>
      <c r="G738" s="2"/>
      <c r="L738" s="29"/>
    </row>
    <row r="739">
      <c r="B739" s="2"/>
      <c r="C739" s="2"/>
      <c r="D739" s="2"/>
      <c r="E739" s="2"/>
      <c r="F739" s="2"/>
      <c r="G739" s="2"/>
      <c r="L739" s="29"/>
    </row>
    <row r="740">
      <c r="B740" s="2"/>
      <c r="C740" s="2"/>
      <c r="D740" s="2"/>
      <c r="E740" s="2"/>
      <c r="F740" s="2"/>
      <c r="G740" s="2"/>
      <c r="L740" s="29"/>
    </row>
    <row r="741">
      <c r="B741" s="2"/>
      <c r="C741" s="2"/>
      <c r="D741" s="2"/>
      <c r="E741" s="2"/>
      <c r="F741" s="2"/>
      <c r="G741" s="2"/>
      <c r="L741" s="29"/>
    </row>
    <row r="742">
      <c r="B742" s="2"/>
      <c r="C742" s="2"/>
      <c r="D742" s="2"/>
      <c r="E742" s="2"/>
      <c r="F742" s="2"/>
      <c r="G742" s="2"/>
      <c r="L742" s="29"/>
    </row>
    <row r="743">
      <c r="B743" s="2"/>
      <c r="C743" s="2"/>
      <c r="D743" s="2"/>
      <c r="E743" s="2"/>
      <c r="F743" s="2"/>
      <c r="G743" s="2"/>
      <c r="L743" s="29"/>
    </row>
    <row r="744">
      <c r="B744" s="2"/>
      <c r="C744" s="2"/>
      <c r="D744" s="2"/>
      <c r="E744" s="2"/>
      <c r="F744" s="2"/>
      <c r="G744" s="2"/>
      <c r="L744" s="29"/>
    </row>
    <row r="745">
      <c r="B745" s="2"/>
      <c r="C745" s="2"/>
      <c r="D745" s="2"/>
      <c r="E745" s="2"/>
      <c r="F745" s="2"/>
      <c r="G745" s="2"/>
      <c r="L745" s="29"/>
    </row>
    <row r="746">
      <c r="B746" s="2"/>
      <c r="C746" s="2"/>
      <c r="D746" s="2"/>
      <c r="E746" s="2"/>
      <c r="F746" s="2"/>
      <c r="G746" s="2"/>
      <c r="L746" s="29"/>
    </row>
    <row r="747">
      <c r="B747" s="2"/>
      <c r="C747" s="2"/>
      <c r="D747" s="2"/>
      <c r="E747" s="2"/>
      <c r="F747" s="2"/>
      <c r="G747" s="2"/>
      <c r="L747" s="29"/>
    </row>
    <row r="748">
      <c r="B748" s="2"/>
      <c r="C748" s="2"/>
      <c r="D748" s="2"/>
      <c r="E748" s="2"/>
      <c r="F748" s="2"/>
      <c r="G748" s="2"/>
      <c r="L748" s="29"/>
    </row>
    <row r="749">
      <c r="B749" s="2"/>
      <c r="C749" s="2"/>
      <c r="D749" s="2"/>
      <c r="E749" s="2"/>
      <c r="F749" s="2"/>
      <c r="G749" s="2"/>
      <c r="L749" s="29"/>
    </row>
    <row r="750">
      <c r="B750" s="2"/>
      <c r="C750" s="2"/>
      <c r="D750" s="2"/>
      <c r="E750" s="2"/>
      <c r="F750" s="2"/>
      <c r="G750" s="2"/>
      <c r="L750" s="29"/>
    </row>
    <row r="751">
      <c r="B751" s="2"/>
      <c r="C751" s="2"/>
      <c r="D751" s="2"/>
      <c r="E751" s="2"/>
      <c r="F751" s="2"/>
      <c r="G751" s="2"/>
      <c r="L751" s="29"/>
    </row>
    <row r="752">
      <c r="B752" s="2"/>
      <c r="C752" s="2"/>
      <c r="D752" s="2"/>
      <c r="E752" s="2"/>
      <c r="F752" s="2"/>
      <c r="G752" s="2"/>
      <c r="L752" s="29"/>
    </row>
    <row r="753">
      <c r="B753" s="2"/>
      <c r="C753" s="2"/>
      <c r="D753" s="2"/>
      <c r="E753" s="2"/>
      <c r="F753" s="2"/>
      <c r="G753" s="2"/>
      <c r="L753" s="29"/>
    </row>
    <row r="754">
      <c r="B754" s="2"/>
      <c r="C754" s="2"/>
      <c r="D754" s="2"/>
      <c r="E754" s="2"/>
      <c r="F754" s="2"/>
      <c r="G754" s="2"/>
      <c r="L754" s="29"/>
    </row>
    <row r="755">
      <c r="B755" s="2"/>
      <c r="C755" s="2"/>
      <c r="D755" s="2"/>
      <c r="E755" s="2"/>
      <c r="F755" s="2"/>
      <c r="G755" s="2"/>
      <c r="L755" s="29"/>
    </row>
    <row r="756">
      <c r="B756" s="2"/>
      <c r="C756" s="2"/>
      <c r="D756" s="2"/>
      <c r="E756" s="2"/>
      <c r="F756" s="2"/>
      <c r="G756" s="2"/>
      <c r="L756" s="29"/>
    </row>
    <row r="757">
      <c r="B757" s="2"/>
      <c r="C757" s="2"/>
      <c r="D757" s="2"/>
      <c r="E757" s="2"/>
      <c r="F757" s="2"/>
      <c r="G757" s="2"/>
      <c r="L757" s="29"/>
    </row>
    <row r="758">
      <c r="B758" s="2"/>
      <c r="C758" s="2"/>
      <c r="D758" s="2"/>
      <c r="E758" s="2"/>
      <c r="F758" s="2"/>
      <c r="G758" s="2"/>
      <c r="L758" s="29"/>
    </row>
    <row r="759">
      <c r="B759" s="2"/>
      <c r="C759" s="2"/>
      <c r="D759" s="2"/>
      <c r="E759" s="2"/>
      <c r="F759" s="2"/>
      <c r="G759" s="2"/>
      <c r="L759" s="29"/>
    </row>
    <row r="760">
      <c r="B760" s="2"/>
      <c r="C760" s="2"/>
      <c r="D760" s="2"/>
      <c r="E760" s="2"/>
      <c r="F760" s="2"/>
      <c r="G760" s="2"/>
      <c r="L760" s="29"/>
    </row>
    <row r="761">
      <c r="B761" s="2"/>
      <c r="C761" s="2"/>
      <c r="D761" s="2"/>
      <c r="E761" s="2"/>
      <c r="F761" s="2"/>
      <c r="G761" s="2"/>
      <c r="L761" s="29"/>
    </row>
    <row r="762">
      <c r="B762" s="2"/>
      <c r="C762" s="2"/>
      <c r="D762" s="2"/>
      <c r="E762" s="2"/>
      <c r="F762" s="2"/>
      <c r="G762" s="2"/>
      <c r="L762" s="29"/>
    </row>
    <row r="763">
      <c r="B763" s="2"/>
      <c r="C763" s="2"/>
      <c r="D763" s="2"/>
      <c r="E763" s="2"/>
      <c r="F763" s="2"/>
      <c r="G763" s="2"/>
      <c r="L763" s="29"/>
    </row>
    <row r="764">
      <c r="B764" s="2"/>
      <c r="C764" s="2"/>
      <c r="D764" s="2"/>
      <c r="E764" s="2"/>
      <c r="F764" s="2"/>
      <c r="G764" s="2"/>
      <c r="L764" s="29"/>
    </row>
    <row r="765">
      <c r="B765" s="2"/>
      <c r="C765" s="2"/>
      <c r="D765" s="2"/>
      <c r="E765" s="2"/>
      <c r="F765" s="2"/>
      <c r="G765" s="2"/>
      <c r="L765" s="29"/>
    </row>
    <row r="766">
      <c r="B766" s="2"/>
      <c r="C766" s="2"/>
      <c r="D766" s="2"/>
      <c r="E766" s="2"/>
      <c r="F766" s="2"/>
      <c r="G766" s="2"/>
      <c r="L766" s="29"/>
    </row>
    <row r="767">
      <c r="B767" s="2"/>
      <c r="C767" s="2"/>
      <c r="D767" s="2"/>
      <c r="E767" s="2"/>
      <c r="F767" s="2"/>
      <c r="G767" s="2"/>
      <c r="L767" s="29"/>
    </row>
    <row r="768">
      <c r="B768" s="2"/>
      <c r="C768" s="2"/>
      <c r="D768" s="2"/>
      <c r="E768" s="2"/>
      <c r="F768" s="2"/>
      <c r="G768" s="2"/>
      <c r="L768" s="29"/>
    </row>
    <row r="769">
      <c r="B769" s="2"/>
      <c r="C769" s="2"/>
      <c r="D769" s="2"/>
      <c r="E769" s="2"/>
      <c r="F769" s="2"/>
      <c r="G769" s="2"/>
      <c r="L769" s="29"/>
    </row>
    <row r="770">
      <c r="B770" s="2"/>
      <c r="C770" s="2"/>
      <c r="D770" s="2"/>
      <c r="E770" s="2"/>
      <c r="F770" s="2"/>
      <c r="G770" s="2"/>
      <c r="L770" s="29"/>
    </row>
    <row r="771">
      <c r="B771" s="2"/>
      <c r="C771" s="2"/>
      <c r="D771" s="2"/>
      <c r="E771" s="2"/>
      <c r="F771" s="2"/>
      <c r="G771" s="2"/>
      <c r="L771" s="29"/>
    </row>
    <row r="772">
      <c r="B772" s="2"/>
      <c r="C772" s="2"/>
      <c r="D772" s="2"/>
      <c r="E772" s="2"/>
      <c r="F772" s="2"/>
      <c r="G772" s="2"/>
      <c r="L772" s="29"/>
    </row>
    <row r="773">
      <c r="B773" s="2"/>
      <c r="C773" s="2"/>
      <c r="D773" s="2"/>
      <c r="E773" s="2"/>
      <c r="F773" s="2"/>
      <c r="G773" s="2"/>
      <c r="L773" s="29"/>
    </row>
    <row r="774">
      <c r="B774" s="2"/>
      <c r="C774" s="2"/>
      <c r="D774" s="2"/>
      <c r="E774" s="2"/>
      <c r="F774" s="2"/>
      <c r="G774" s="2"/>
      <c r="L774" s="29"/>
    </row>
    <row r="775">
      <c r="B775" s="2"/>
      <c r="C775" s="2"/>
      <c r="D775" s="2"/>
      <c r="E775" s="2"/>
      <c r="F775" s="2"/>
      <c r="G775" s="2"/>
      <c r="L775" s="29"/>
    </row>
    <row r="776">
      <c r="B776" s="2"/>
      <c r="C776" s="2"/>
      <c r="D776" s="2"/>
      <c r="E776" s="2"/>
      <c r="F776" s="2"/>
      <c r="G776" s="2"/>
      <c r="L776" s="29"/>
    </row>
    <row r="777">
      <c r="B777" s="2"/>
      <c r="C777" s="2"/>
      <c r="D777" s="2"/>
      <c r="E777" s="2"/>
      <c r="F777" s="2"/>
      <c r="G777" s="2"/>
      <c r="L777" s="29"/>
    </row>
    <row r="778">
      <c r="B778" s="2"/>
      <c r="C778" s="2"/>
      <c r="D778" s="2"/>
      <c r="E778" s="2"/>
      <c r="F778" s="2"/>
      <c r="G778" s="2"/>
      <c r="L778" s="29"/>
    </row>
    <row r="779">
      <c r="B779" s="2"/>
      <c r="C779" s="2"/>
      <c r="D779" s="2"/>
      <c r="E779" s="2"/>
      <c r="F779" s="2"/>
      <c r="G779" s="2"/>
      <c r="L779" s="29"/>
    </row>
    <row r="780">
      <c r="B780" s="2"/>
      <c r="C780" s="2"/>
      <c r="D780" s="2"/>
      <c r="E780" s="2"/>
      <c r="F780" s="2"/>
      <c r="G780" s="2"/>
      <c r="L780" s="29"/>
    </row>
    <row r="781">
      <c r="B781" s="2"/>
      <c r="C781" s="2"/>
      <c r="D781" s="2"/>
      <c r="E781" s="2"/>
      <c r="F781" s="2"/>
      <c r="G781" s="2"/>
      <c r="L781" s="29"/>
    </row>
    <row r="782">
      <c r="B782" s="2"/>
      <c r="C782" s="2"/>
      <c r="D782" s="2"/>
      <c r="E782" s="2"/>
      <c r="F782" s="2"/>
      <c r="G782" s="2"/>
      <c r="L782" s="29"/>
    </row>
    <row r="783">
      <c r="B783" s="2"/>
      <c r="C783" s="2"/>
      <c r="D783" s="2"/>
      <c r="E783" s="2"/>
      <c r="F783" s="2"/>
      <c r="G783" s="2"/>
      <c r="L783" s="29"/>
    </row>
    <row r="784">
      <c r="B784" s="2"/>
      <c r="C784" s="2"/>
      <c r="D784" s="2"/>
      <c r="E784" s="2"/>
      <c r="F784" s="2"/>
      <c r="G784" s="2"/>
      <c r="L784" s="29"/>
    </row>
    <row r="785">
      <c r="B785" s="2"/>
      <c r="C785" s="2"/>
      <c r="D785" s="2"/>
      <c r="E785" s="2"/>
      <c r="F785" s="2"/>
      <c r="G785" s="2"/>
      <c r="L785" s="29"/>
    </row>
    <row r="786">
      <c r="B786" s="2"/>
      <c r="C786" s="2"/>
      <c r="D786" s="2"/>
      <c r="E786" s="2"/>
      <c r="F786" s="2"/>
      <c r="G786" s="2"/>
      <c r="L786" s="29"/>
    </row>
    <row r="787">
      <c r="B787" s="2"/>
      <c r="C787" s="2"/>
      <c r="D787" s="2"/>
      <c r="E787" s="2"/>
      <c r="F787" s="2"/>
      <c r="G787" s="2"/>
      <c r="L787" s="29"/>
    </row>
    <row r="788">
      <c r="B788" s="2"/>
      <c r="C788" s="2"/>
      <c r="D788" s="2"/>
      <c r="E788" s="2"/>
      <c r="F788" s="2"/>
      <c r="G788" s="2"/>
      <c r="L788" s="29"/>
    </row>
    <row r="789">
      <c r="B789" s="2"/>
      <c r="C789" s="2"/>
      <c r="D789" s="2"/>
      <c r="E789" s="2"/>
      <c r="F789" s="2"/>
      <c r="G789" s="2"/>
      <c r="L789" s="29"/>
    </row>
    <row r="790">
      <c r="B790" s="2"/>
      <c r="C790" s="2"/>
      <c r="D790" s="2"/>
      <c r="E790" s="2"/>
      <c r="F790" s="2"/>
      <c r="G790" s="2"/>
      <c r="L790" s="29"/>
    </row>
    <row r="791">
      <c r="B791" s="2"/>
      <c r="C791" s="2"/>
      <c r="D791" s="2"/>
      <c r="E791" s="2"/>
      <c r="F791" s="2"/>
      <c r="G791" s="2"/>
      <c r="L791" s="29"/>
    </row>
    <row r="792">
      <c r="B792" s="2"/>
      <c r="C792" s="2"/>
      <c r="D792" s="2"/>
      <c r="E792" s="2"/>
      <c r="F792" s="2"/>
      <c r="G792" s="2"/>
      <c r="L792" s="29"/>
    </row>
    <row r="793">
      <c r="B793" s="2"/>
      <c r="C793" s="2"/>
      <c r="D793" s="2"/>
      <c r="E793" s="2"/>
      <c r="F793" s="2"/>
      <c r="G793" s="2"/>
      <c r="L793" s="29"/>
    </row>
    <row r="794">
      <c r="B794" s="2"/>
      <c r="C794" s="2"/>
      <c r="D794" s="2"/>
      <c r="E794" s="2"/>
      <c r="F794" s="2"/>
      <c r="G794" s="2"/>
      <c r="L794" s="29"/>
    </row>
    <row r="795">
      <c r="B795" s="2"/>
      <c r="C795" s="2"/>
      <c r="D795" s="2"/>
      <c r="E795" s="2"/>
      <c r="F795" s="2"/>
      <c r="G795" s="2"/>
      <c r="L795" s="29"/>
    </row>
    <row r="796">
      <c r="B796" s="2"/>
      <c r="C796" s="2"/>
      <c r="D796" s="2"/>
      <c r="E796" s="2"/>
      <c r="F796" s="2"/>
      <c r="G796" s="2"/>
      <c r="L796" s="29"/>
    </row>
    <row r="797">
      <c r="B797" s="2"/>
      <c r="C797" s="2"/>
      <c r="D797" s="2"/>
      <c r="E797" s="2"/>
      <c r="F797" s="2"/>
      <c r="G797" s="2"/>
      <c r="L797" s="29"/>
    </row>
    <row r="798">
      <c r="B798" s="2"/>
      <c r="C798" s="2"/>
      <c r="D798" s="2"/>
      <c r="E798" s="2"/>
      <c r="F798" s="2"/>
      <c r="G798" s="2"/>
      <c r="L798" s="29"/>
    </row>
    <row r="799">
      <c r="B799" s="2"/>
      <c r="C799" s="2"/>
      <c r="D799" s="2"/>
      <c r="E799" s="2"/>
      <c r="F799" s="2"/>
      <c r="G799" s="2"/>
      <c r="L799" s="29"/>
    </row>
    <row r="800">
      <c r="B800" s="2"/>
      <c r="C800" s="2"/>
      <c r="D800" s="2"/>
      <c r="E800" s="2"/>
      <c r="F800" s="2"/>
      <c r="G800" s="2"/>
      <c r="L800" s="29"/>
    </row>
    <row r="801">
      <c r="B801" s="2"/>
      <c r="C801" s="2"/>
      <c r="D801" s="2"/>
      <c r="E801" s="2"/>
      <c r="F801" s="2"/>
      <c r="G801" s="2"/>
      <c r="L801" s="29"/>
    </row>
    <row r="802">
      <c r="B802" s="2"/>
      <c r="C802" s="2"/>
      <c r="D802" s="2"/>
      <c r="E802" s="2"/>
      <c r="F802" s="2"/>
      <c r="G802" s="2"/>
      <c r="L802" s="29"/>
    </row>
    <row r="803">
      <c r="B803" s="2"/>
      <c r="C803" s="2"/>
      <c r="D803" s="2"/>
      <c r="E803" s="2"/>
      <c r="F803" s="2"/>
      <c r="G803" s="2"/>
      <c r="L803" s="29"/>
    </row>
    <row r="804">
      <c r="B804" s="2"/>
      <c r="C804" s="2"/>
      <c r="D804" s="2"/>
      <c r="E804" s="2"/>
      <c r="F804" s="2"/>
      <c r="G804" s="2"/>
      <c r="L804" s="29"/>
    </row>
    <row r="805">
      <c r="B805" s="2"/>
      <c r="C805" s="2"/>
      <c r="D805" s="2"/>
      <c r="E805" s="2"/>
      <c r="F805" s="2"/>
      <c r="G805" s="2"/>
      <c r="L805" s="29"/>
    </row>
    <row r="806">
      <c r="B806" s="2"/>
      <c r="C806" s="2"/>
      <c r="D806" s="2"/>
      <c r="E806" s="2"/>
      <c r="F806" s="2"/>
      <c r="G806" s="2"/>
      <c r="L806" s="29"/>
    </row>
    <row r="807">
      <c r="B807" s="2"/>
      <c r="C807" s="2"/>
      <c r="D807" s="2"/>
      <c r="E807" s="2"/>
      <c r="F807" s="2"/>
      <c r="G807" s="2"/>
      <c r="L807" s="29"/>
    </row>
    <row r="808">
      <c r="B808" s="2"/>
      <c r="C808" s="2"/>
      <c r="D808" s="2"/>
      <c r="E808" s="2"/>
      <c r="F808" s="2"/>
      <c r="G808" s="2"/>
      <c r="L808" s="29"/>
    </row>
    <row r="809">
      <c r="B809" s="2"/>
      <c r="C809" s="2"/>
      <c r="D809" s="2"/>
      <c r="E809" s="2"/>
      <c r="F809" s="2"/>
      <c r="G809" s="2"/>
      <c r="L809" s="29"/>
    </row>
    <row r="810">
      <c r="B810" s="2"/>
      <c r="C810" s="2"/>
      <c r="D810" s="2"/>
      <c r="E810" s="2"/>
      <c r="F810" s="2"/>
      <c r="G810" s="2"/>
      <c r="L810" s="29"/>
    </row>
    <row r="811">
      <c r="B811" s="2"/>
      <c r="C811" s="2"/>
      <c r="D811" s="2"/>
      <c r="E811" s="2"/>
      <c r="F811" s="2"/>
      <c r="G811" s="2"/>
      <c r="L811" s="29"/>
    </row>
    <row r="812">
      <c r="B812" s="2"/>
      <c r="C812" s="2"/>
      <c r="D812" s="2"/>
      <c r="E812" s="2"/>
      <c r="F812" s="2"/>
      <c r="G812" s="2"/>
      <c r="L812" s="29"/>
    </row>
    <row r="813">
      <c r="B813" s="2"/>
      <c r="C813" s="2"/>
      <c r="D813" s="2"/>
      <c r="E813" s="2"/>
      <c r="F813" s="2"/>
      <c r="G813" s="2"/>
      <c r="L813" s="29"/>
    </row>
    <row r="814">
      <c r="B814" s="2"/>
      <c r="C814" s="2"/>
      <c r="D814" s="2"/>
      <c r="E814" s="2"/>
      <c r="F814" s="2"/>
      <c r="G814" s="2"/>
      <c r="L814" s="29"/>
    </row>
    <row r="815">
      <c r="B815" s="2"/>
      <c r="C815" s="2"/>
      <c r="D815" s="2"/>
      <c r="E815" s="2"/>
      <c r="F815" s="2"/>
      <c r="G815" s="2"/>
      <c r="L815" s="29"/>
    </row>
    <row r="816">
      <c r="B816" s="2"/>
      <c r="C816" s="2"/>
      <c r="D816" s="2"/>
      <c r="E816" s="2"/>
      <c r="F816" s="2"/>
      <c r="G816" s="2"/>
      <c r="L816" s="29"/>
    </row>
    <row r="817">
      <c r="B817" s="2"/>
      <c r="C817" s="2"/>
      <c r="D817" s="2"/>
      <c r="E817" s="2"/>
      <c r="F817" s="2"/>
      <c r="G817" s="2"/>
      <c r="L817" s="29"/>
    </row>
    <row r="818">
      <c r="B818" s="2"/>
      <c r="C818" s="2"/>
      <c r="D818" s="2"/>
      <c r="E818" s="2"/>
      <c r="F818" s="2"/>
      <c r="G818" s="2"/>
      <c r="L818" s="29"/>
    </row>
    <row r="819">
      <c r="B819" s="2"/>
      <c r="C819" s="2"/>
      <c r="D819" s="2"/>
      <c r="E819" s="2"/>
      <c r="F819" s="2"/>
      <c r="G819" s="2"/>
      <c r="L819" s="29"/>
    </row>
    <row r="820">
      <c r="B820" s="2"/>
      <c r="C820" s="2"/>
      <c r="D820" s="2"/>
      <c r="E820" s="2"/>
      <c r="F820" s="2"/>
      <c r="G820" s="2"/>
      <c r="L820" s="29"/>
    </row>
    <row r="821">
      <c r="B821" s="2"/>
      <c r="C821" s="2"/>
      <c r="D821" s="2"/>
      <c r="E821" s="2"/>
      <c r="F821" s="2"/>
      <c r="G821" s="2"/>
      <c r="L821" s="29"/>
    </row>
    <row r="822">
      <c r="B822" s="2"/>
      <c r="C822" s="2"/>
      <c r="D822" s="2"/>
      <c r="E822" s="2"/>
      <c r="F822" s="2"/>
      <c r="G822" s="2"/>
      <c r="L822" s="29"/>
    </row>
    <row r="823">
      <c r="B823" s="2"/>
      <c r="C823" s="2"/>
      <c r="D823" s="2"/>
      <c r="E823" s="2"/>
      <c r="F823" s="2"/>
      <c r="G823" s="2"/>
      <c r="L823" s="29"/>
    </row>
    <row r="824">
      <c r="B824" s="2"/>
      <c r="C824" s="2"/>
      <c r="D824" s="2"/>
      <c r="E824" s="2"/>
      <c r="F824" s="2"/>
      <c r="G824" s="2"/>
      <c r="L824" s="29"/>
    </row>
    <row r="825">
      <c r="B825" s="2"/>
      <c r="C825" s="2"/>
      <c r="D825" s="2"/>
      <c r="E825" s="2"/>
      <c r="F825" s="2"/>
      <c r="G825" s="2"/>
      <c r="L825" s="29"/>
    </row>
    <row r="826">
      <c r="B826" s="2"/>
      <c r="C826" s="2"/>
      <c r="D826" s="2"/>
      <c r="E826" s="2"/>
      <c r="F826" s="2"/>
      <c r="G826" s="2"/>
      <c r="L826" s="29"/>
    </row>
    <row r="827">
      <c r="B827" s="2"/>
      <c r="C827" s="2"/>
      <c r="D827" s="2"/>
      <c r="E827" s="2"/>
      <c r="F827" s="2"/>
      <c r="G827" s="2"/>
      <c r="L827" s="29"/>
    </row>
    <row r="828">
      <c r="B828" s="2"/>
      <c r="C828" s="2"/>
      <c r="D828" s="2"/>
      <c r="E828" s="2"/>
      <c r="F828" s="2"/>
      <c r="G828" s="2"/>
      <c r="L828" s="29"/>
    </row>
    <row r="829">
      <c r="B829" s="2"/>
      <c r="C829" s="2"/>
      <c r="D829" s="2"/>
      <c r="E829" s="2"/>
      <c r="F829" s="2"/>
      <c r="G829" s="2"/>
      <c r="L829" s="29"/>
    </row>
    <row r="830">
      <c r="B830" s="2"/>
      <c r="C830" s="2"/>
      <c r="D830" s="2"/>
      <c r="E830" s="2"/>
      <c r="F830" s="2"/>
      <c r="G830" s="2"/>
      <c r="L830" s="29"/>
    </row>
    <row r="831">
      <c r="B831" s="2"/>
      <c r="C831" s="2"/>
      <c r="D831" s="2"/>
      <c r="E831" s="2"/>
      <c r="F831" s="2"/>
      <c r="G831" s="2"/>
      <c r="L831" s="29"/>
    </row>
    <row r="832">
      <c r="B832" s="2"/>
      <c r="C832" s="2"/>
      <c r="D832" s="2"/>
      <c r="E832" s="2"/>
      <c r="F832" s="2"/>
      <c r="G832" s="2"/>
      <c r="L832" s="29"/>
    </row>
    <row r="833">
      <c r="B833" s="2"/>
      <c r="C833" s="2"/>
      <c r="D833" s="2"/>
      <c r="E833" s="2"/>
      <c r="F833" s="2"/>
      <c r="G833" s="2"/>
      <c r="L833" s="29"/>
    </row>
    <row r="834">
      <c r="B834" s="2"/>
      <c r="C834" s="2"/>
      <c r="D834" s="2"/>
      <c r="E834" s="2"/>
      <c r="F834" s="2"/>
      <c r="G834" s="2"/>
      <c r="L834" s="29"/>
    </row>
    <row r="835">
      <c r="B835" s="2"/>
      <c r="C835" s="2"/>
      <c r="D835" s="2"/>
      <c r="E835" s="2"/>
      <c r="F835" s="2"/>
      <c r="G835" s="2"/>
      <c r="L835" s="29"/>
    </row>
    <row r="836">
      <c r="B836" s="2"/>
      <c r="C836" s="2"/>
      <c r="D836" s="2"/>
      <c r="E836" s="2"/>
      <c r="F836" s="2"/>
      <c r="G836" s="2"/>
      <c r="L836" s="29"/>
    </row>
    <row r="837">
      <c r="B837" s="2"/>
      <c r="C837" s="2"/>
      <c r="D837" s="2"/>
      <c r="E837" s="2"/>
      <c r="F837" s="2"/>
      <c r="G837" s="2"/>
      <c r="L837" s="29"/>
    </row>
    <row r="838">
      <c r="B838" s="2"/>
      <c r="C838" s="2"/>
      <c r="D838" s="2"/>
      <c r="E838" s="2"/>
      <c r="F838" s="2"/>
      <c r="G838" s="2"/>
      <c r="L838" s="29"/>
    </row>
    <row r="839">
      <c r="B839" s="2"/>
      <c r="C839" s="2"/>
      <c r="D839" s="2"/>
      <c r="E839" s="2"/>
      <c r="F839" s="2"/>
      <c r="G839" s="2"/>
      <c r="L839" s="29"/>
    </row>
    <row r="840">
      <c r="B840" s="2"/>
      <c r="C840" s="2"/>
      <c r="D840" s="2"/>
      <c r="E840" s="2"/>
      <c r="F840" s="2"/>
      <c r="G840" s="2"/>
      <c r="L840" s="29"/>
    </row>
    <row r="841">
      <c r="B841" s="2"/>
      <c r="C841" s="2"/>
      <c r="D841" s="2"/>
      <c r="E841" s="2"/>
      <c r="F841" s="2"/>
      <c r="G841" s="2"/>
      <c r="L841" s="29"/>
    </row>
    <row r="842">
      <c r="B842" s="2"/>
      <c r="C842" s="2"/>
      <c r="D842" s="2"/>
      <c r="E842" s="2"/>
      <c r="F842" s="2"/>
      <c r="G842" s="2"/>
      <c r="L842" s="29"/>
    </row>
    <row r="843">
      <c r="B843" s="2"/>
      <c r="C843" s="2"/>
      <c r="D843" s="2"/>
      <c r="E843" s="2"/>
      <c r="F843" s="2"/>
      <c r="G843" s="2"/>
      <c r="L843" s="29"/>
    </row>
    <row r="844">
      <c r="B844" s="2"/>
      <c r="C844" s="2"/>
      <c r="D844" s="2"/>
      <c r="E844" s="2"/>
      <c r="F844" s="2"/>
      <c r="G844" s="2"/>
      <c r="L844" s="29"/>
    </row>
    <row r="845">
      <c r="B845" s="2"/>
      <c r="C845" s="2"/>
      <c r="D845" s="2"/>
      <c r="E845" s="2"/>
      <c r="F845" s="2"/>
      <c r="G845" s="2"/>
      <c r="L845" s="29"/>
    </row>
    <row r="846">
      <c r="B846" s="2"/>
      <c r="C846" s="2"/>
      <c r="D846" s="2"/>
      <c r="E846" s="2"/>
      <c r="F846" s="2"/>
      <c r="G846" s="2"/>
      <c r="L846" s="29"/>
    </row>
    <row r="847">
      <c r="B847" s="2"/>
      <c r="C847" s="2"/>
      <c r="D847" s="2"/>
      <c r="E847" s="2"/>
      <c r="F847" s="2"/>
      <c r="G847" s="2"/>
      <c r="L847" s="29"/>
    </row>
    <row r="848">
      <c r="B848" s="2"/>
      <c r="C848" s="2"/>
      <c r="D848" s="2"/>
      <c r="E848" s="2"/>
      <c r="F848" s="2"/>
      <c r="G848" s="2"/>
      <c r="L848" s="29"/>
    </row>
    <row r="849">
      <c r="B849" s="2"/>
      <c r="C849" s="2"/>
      <c r="D849" s="2"/>
      <c r="E849" s="2"/>
      <c r="F849" s="2"/>
      <c r="G849" s="2"/>
      <c r="L849" s="29"/>
    </row>
    <row r="850">
      <c r="B850" s="2"/>
      <c r="C850" s="2"/>
      <c r="D850" s="2"/>
      <c r="E850" s="2"/>
      <c r="F850" s="2"/>
      <c r="G850" s="2"/>
      <c r="L850" s="29"/>
    </row>
    <row r="851">
      <c r="B851" s="2"/>
      <c r="C851" s="2"/>
      <c r="D851" s="2"/>
      <c r="E851" s="2"/>
      <c r="F851" s="2"/>
      <c r="G851" s="2"/>
      <c r="L851" s="29"/>
    </row>
    <row r="852">
      <c r="B852" s="2"/>
      <c r="C852" s="2"/>
      <c r="D852" s="2"/>
      <c r="E852" s="2"/>
      <c r="F852" s="2"/>
      <c r="G852" s="2"/>
      <c r="L852" s="29"/>
    </row>
    <row r="853">
      <c r="B853" s="2"/>
      <c r="C853" s="2"/>
      <c r="D853" s="2"/>
      <c r="E853" s="2"/>
      <c r="F853" s="2"/>
      <c r="G853" s="2"/>
      <c r="L853" s="29"/>
    </row>
    <row r="854">
      <c r="B854" s="2"/>
      <c r="C854" s="2"/>
      <c r="D854" s="2"/>
      <c r="E854" s="2"/>
      <c r="F854" s="2"/>
      <c r="G854" s="2"/>
      <c r="L854" s="29"/>
    </row>
    <row r="855">
      <c r="B855" s="2"/>
      <c r="C855" s="2"/>
      <c r="D855" s="2"/>
      <c r="E855" s="2"/>
      <c r="F855" s="2"/>
      <c r="G855" s="2"/>
      <c r="L855" s="29"/>
    </row>
    <row r="856">
      <c r="B856" s="2"/>
      <c r="C856" s="2"/>
      <c r="D856" s="2"/>
      <c r="E856" s="2"/>
      <c r="F856" s="2"/>
      <c r="G856" s="2"/>
      <c r="L856" s="29"/>
    </row>
    <row r="857">
      <c r="B857" s="2"/>
      <c r="C857" s="2"/>
      <c r="D857" s="2"/>
      <c r="E857" s="2"/>
      <c r="F857" s="2"/>
      <c r="G857" s="2"/>
      <c r="L857" s="29"/>
    </row>
    <row r="858">
      <c r="B858" s="2"/>
      <c r="C858" s="2"/>
      <c r="D858" s="2"/>
      <c r="E858" s="2"/>
      <c r="F858" s="2"/>
      <c r="G858" s="2"/>
      <c r="L858" s="29"/>
    </row>
    <row r="859">
      <c r="B859" s="2"/>
      <c r="C859" s="2"/>
      <c r="D859" s="2"/>
      <c r="E859" s="2"/>
      <c r="F859" s="2"/>
      <c r="G859" s="2"/>
      <c r="L859" s="29"/>
    </row>
    <row r="860">
      <c r="B860" s="2"/>
      <c r="C860" s="2"/>
      <c r="D860" s="2"/>
      <c r="E860" s="2"/>
      <c r="F860" s="2"/>
      <c r="G860" s="2"/>
      <c r="L860" s="29"/>
    </row>
    <row r="861">
      <c r="B861" s="2"/>
      <c r="C861" s="2"/>
      <c r="D861" s="2"/>
      <c r="E861" s="2"/>
      <c r="F861" s="2"/>
      <c r="G861" s="2"/>
      <c r="L861" s="29"/>
    </row>
    <row r="862">
      <c r="B862" s="2"/>
      <c r="C862" s="2"/>
      <c r="D862" s="2"/>
      <c r="E862" s="2"/>
      <c r="F862" s="2"/>
      <c r="G862" s="2"/>
      <c r="L862" s="29"/>
    </row>
    <row r="863">
      <c r="B863" s="2"/>
      <c r="C863" s="2"/>
      <c r="D863" s="2"/>
      <c r="E863" s="2"/>
      <c r="F863" s="2"/>
      <c r="G863" s="2"/>
      <c r="L863" s="29"/>
    </row>
    <row r="864">
      <c r="B864" s="2"/>
      <c r="C864" s="2"/>
      <c r="D864" s="2"/>
      <c r="E864" s="2"/>
      <c r="F864" s="2"/>
      <c r="G864" s="2"/>
      <c r="L864" s="29"/>
    </row>
    <row r="865">
      <c r="B865" s="2"/>
      <c r="C865" s="2"/>
      <c r="D865" s="2"/>
      <c r="E865" s="2"/>
      <c r="F865" s="2"/>
      <c r="G865" s="2"/>
      <c r="L865" s="29"/>
    </row>
    <row r="866">
      <c r="B866" s="2"/>
      <c r="C866" s="2"/>
      <c r="D866" s="2"/>
      <c r="E866" s="2"/>
      <c r="F866" s="2"/>
      <c r="G866" s="2"/>
      <c r="L866" s="29"/>
    </row>
    <row r="867">
      <c r="B867" s="2"/>
      <c r="C867" s="2"/>
      <c r="D867" s="2"/>
      <c r="E867" s="2"/>
      <c r="F867" s="2"/>
      <c r="G867" s="2"/>
      <c r="L867" s="29"/>
    </row>
    <row r="868">
      <c r="B868" s="2"/>
      <c r="C868" s="2"/>
      <c r="D868" s="2"/>
      <c r="E868" s="2"/>
      <c r="F868" s="2"/>
      <c r="G868" s="2"/>
      <c r="L868" s="29"/>
    </row>
    <row r="869">
      <c r="B869" s="2"/>
      <c r="C869" s="2"/>
      <c r="D869" s="2"/>
      <c r="E869" s="2"/>
      <c r="F869" s="2"/>
      <c r="G869" s="2"/>
      <c r="L869" s="29"/>
    </row>
    <row r="870">
      <c r="B870" s="2"/>
      <c r="C870" s="2"/>
      <c r="D870" s="2"/>
      <c r="E870" s="2"/>
      <c r="F870" s="2"/>
      <c r="G870" s="2"/>
      <c r="L870" s="29"/>
    </row>
    <row r="871">
      <c r="B871" s="2"/>
      <c r="C871" s="2"/>
      <c r="D871" s="2"/>
      <c r="E871" s="2"/>
      <c r="F871" s="2"/>
      <c r="G871" s="2"/>
      <c r="L871" s="29"/>
    </row>
    <row r="872">
      <c r="B872" s="2"/>
      <c r="C872" s="2"/>
      <c r="D872" s="2"/>
      <c r="E872" s="2"/>
      <c r="F872" s="2"/>
      <c r="G872" s="2"/>
      <c r="L872" s="29"/>
    </row>
    <row r="873">
      <c r="B873" s="2"/>
      <c r="C873" s="2"/>
      <c r="D873" s="2"/>
      <c r="E873" s="2"/>
      <c r="F873" s="2"/>
      <c r="G873" s="2"/>
      <c r="L873" s="29"/>
    </row>
    <row r="874">
      <c r="B874" s="2"/>
      <c r="C874" s="2"/>
      <c r="D874" s="2"/>
      <c r="E874" s="2"/>
      <c r="F874" s="2"/>
      <c r="G874" s="2"/>
      <c r="L874" s="29"/>
    </row>
    <row r="875">
      <c r="B875" s="2"/>
      <c r="C875" s="2"/>
      <c r="D875" s="2"/>
      <c r="E875" s="2"/>
      <c r="F875" s="2"/>
      <c r="G875" s="2"/>
      <c r="L875" s="29"/>
    </row>
    <row r="876">
      <c r="B876" s="2"/>
      <c r="C876" s="2"/>
      <c r="D876" s="2"/>
      <c r="E876" s="2"/>
      <c r="F876" s="2"/>
      <c r="G876" s="2"/>
      <c r="L876" s="29"/>
    </row>
    <row r="877">
      <c r="B877" s="2"/>
      <c r="C877" s="2"/>
      <c r="D877" s="2"/>
      <c r="E877" s="2"/>
      <c r="F877" s="2"/>
      <c r="G877" s="2"/>
      <c r="L877" s="29"/>
    </row>
    <row r="878">
      <c r="B878" s="2"/>
      <c r="C878" s="2"/>
      <c r="D878" s="2"/>
      <c r="E878" s="2"/>
      <c r="F878" s="2"/>
      <c r="G878" s="2"/>
      <c r="L878" s="29"/>
    </row>
    <row r="879">
      <c r="B879" s="2"/>
      <c r="C879" s="2"/>
      <c r="D879" s="2"/>
      <c r="E879" s="2"/>
      <c r="F879" s="2"/>
      <c r="G879" s="2"/>
      <c r="L879" s="29"/>
    </row>
    <row r="880">
      <c r="B880" s="2"/>
      <c r="C880" s="2"/>
      <c r="D880" s="2"/>
      <c r="E880" s="2"/>
      <c r="F880" s="2"/>
      <c r="G880" s="2"/>
      <c r="L880" s="29"/>
    </row>
    <row r="881">
      <c r="B881" s="2"/>
      <c r="C881" s="2"/>
      <c r="D881" s="2"/>
      <c r="E881" s="2"/>
      <c r="F881" s="2"/>
      <c r="G881" s="2"/>
      <c r="L881" s="29"/>
    </row>
    <row r="882">
      <c r="B882" s="2"/>
      <c r="C882" s="2"/>
      <c r="D882" s="2"/>
      <c r="E882" s="2"/>
      <c r="F882" s="2"/>
      <c r="G882" s="2"/>
      <c r="L882" s="29"/>
    </row>
    <row r="883">
      <c r="B883" s="2"/>
      <c r="C883" s="2"/>
      <c r="D883" s="2"/>
      <c r="E883" s="2"/>
      <c r="F883" s="2"/>
      <c r="G883" s="2"/>
      <c r="L883" s="29"/>
    </row>
    <row r="884">
      <c r="B884" s="2"/>
      <c r="C884" s="2"/>
      <c r="D884" s="2"/>
      <c r="E884" s="2"/>
      <c r="F884" s="2"/>
      <c r="G884" s="2"/>
      <c r="L884" s="29"/>
    </row>
    <row r="885">
      <c r="B885" s="2"/>
      <c r="C885" s="2"/>
      <c r="D885" s="2"/>
      <c r="E885" s="2"/>
      <c r="F885" s="2"/>
      <c r="G885" s="2"/>
      <c r="L885" s="29"/>
    </row>
    <row r="886">
      <c r="B886" s="2"/>
      <c r="C886" s="2"/>
      <c r="D886" s="2"/>
      <c r="E886" s="2"/>
      <c r="F886" s="2"/>
      <c r="G886" s="2"/>
      <c r="L886" s="29"/>
    </row>
    <row r="887">
      <c r="B887" s="2"/>
      <c r="C887" s="2"/>
      <c r="D887" s="2"/>
      <c r="E887" s="2"/>
      <c r="F887" s="2"/>
      <c r="G887" s="2"/>
      <c r="L887" s="29"/>
    </row>
    <row r="888">
      <c r="B888" s="2"/>
      <c r="C888" s="2"/>
      <c r="D888" s="2"/>
      <c r="E888" s="2"/>
      <c r="F888" s="2"/>
      <c r="G888" s="2"/>
      <c r="L888" s="29"/>
    </row>
    <row r="889">
      <c r="B889" s="2"/>
      <c r="C889" s="2"/>
      <c r="D889" s="2"/>
      <c r="E889" s="2"/>
      <c r="F889" s="2"/>
      <c r="G889" s="2"/>
      <c r="L889" s="29"/>
    </row>
    <row r="890">
      <c r="B890" s="2"/>
      <c r="C890" s="2"/>
      <c r="D890" s="2"/>
      <c r="E890" s="2"/>
      <c r="F890" s="2"/>
      <c r="G890" s="2"/>
      <c r="L890" s="29"/>
    </row>
    <row r="891">
      <c r="B891" s="2"/>
      <c r="C891" s="2"/>
      <c r="D891" s="2"/>
      <c r="E891" s="2"/>
      <c r="F891" s="2"/>
      <c r="G891" s="2"/>
      <c r="L891" s="29"/>
    </row>
    <row r="892">
      <c r="B892" s="2"/>
      <c r="C892" s="2"/>
      <c r="D892" s="2"/>
      <c r="E892" s="2"/>
      <c r="F892" s="2"/>
      <c r="G892" s="2"/>
      <c r="L892" s="29"/>
    </row>
    <row r="893">
      <c r="B893" s="2"/>
      <c r="C893" s="2"/>
      <c r="D893" s="2"/>
      <c r="E893" s="2"/>
      <c r="F893" s="2"/>
      <c r="G893" s="2"/>
      <c r="L893" s="29"/>
    </row>
    <row r="894">
      <c r="B894" s="2"/>
      <c r="C894" s="2"/>
      <c r="D894" s="2"/>
      <c r="E894" s="2"/>
      <c r="F894" s="2"/>
      <c r="G894" s="2"/>
      <c r="L894" s="29"/>
    </row>
    <row r="895">
      <c r="B895" s="2"/>
      <c r="C895" s="2"/>
      <c r="D895" s="2"/>
      <c r="E895" s="2"/>
      <c r="F895" s="2"/>
      <c r="G895" s="2"/>
      <c r="L895" s="29"/>
    </row>
    <row r="896">
      <c r="B896" s="2"/>
      <c r="C896" s="2"/>
      <c r="D896" s="2"/>
      <c r="E896" s="2"/>
      <c r="F896" s="2"/>
      <c r="G896" s="2"/>
      <c r="L896" s="29"/>
    </row>
    <row r="897">
      <c r="B897" s="2"/>
      <c r="C897" s="2"/>
      <c r="D897" s="2"/>
      <c r="E897" s="2"/>
      <c r="F897" s="2"/>
      <c r="G897" s="2"/>
      <c r="L897" s="29"/>
    </row>
    <row r="898">
      <c r="B898" s="2"/>
      <c r="C898" s="2"/>
      <c r="D898" s="2"/>
      <c r="E898" s="2"/>
      <c r="F898" s="2"/>
      <c r="G898" s="2"/>
      <c r="L898" s="29"/>
    </row>
    <row r="899">
      <c r="B899" s="2"/>
      <c r="C899" s="2"/>
      <c r="D899" s="2"/>
      <c r="E899" s="2"/>
      <c r="F899" s="2"/>
      <c r="G899" s="2"/>
      <c r="L899" s="29"/>
    </row>
    <row r="900">
      <c r="B900" s="2"/>
      <c r="C900" s="2"/>
      <c r="D900" s="2"/>
      <c r="E900" s="2"/>
      <c r="F900" s="2"/>
      <c r="G900" s="2"/>
      <c r="L900" s="29"/>
    </row>
    <row r="901">
      <c r="B901" s="2"/>
      <c r="C901" s="2"/>
      <c r="D901" s="2"/>
      <c r="E901" s="2"/>
      <c r="F901" s="2"/>
      <c r="G901" s="2"/>
      <c r="L901" s="29"/>
    </row>
    <row r="902">
      <c r="B902" s="2"/>
      <c r="C902" s="2"/>
      <c r="D902" s="2"/>
      <c r="E902" s="2"/>
      <c r="F902" s="2"/>
      <c r="G902" s="2"/>
      <c r="L902" s="29"/>
    </row>
    <row r="903">
      <c r="B903" s="2"/>
      <c r="C903" s="2"/>
      <c r="D903" s="2"/>
      <c r="E903" s="2"/>
      <c r="F903" s="2"/>
      <c r="G903" s="2"/>
      <c r="L903" s="29"/>
    </row>
    <row r="904">
      <c r="B904" s="2"/>
      <c r="C904" s="2"/>
      <c r="D904" s="2"/>
      <c r="E904" s="2"/>
      <c r="F904" s="2"/>
      <c r="G904" s="2"/>
      <c r="L904" s="29"/>
    </row>
    <row r="905">
      <c r="B905" s="2"/>
      <c r="C905" s="2"/>
      <c r="D905" s="2"/>
      <c r="E905" s="2"/>
      <c r="F905" s="2"/>
      <c r="G905" s="2"/>
      <c r="L905" s="29"/>
    </row>
    <row r="906">
      <c r="B906" s="2"/>
      <c r="C906" s="2"/>
      <c r="D906" s="2"/>
      <c r="E906" s="2"/>
      <c r="F906" s="2"/>
      <c r="G906" s="2"/>
      <c r="L906" s="29"/>
    </row>
    <row r="907">
      <c r="B907" s="2"/>
      <c r="C907" s="2"/>
      <c r="D907" s="2"/>
      <c r="E907" s="2"/>
      <c r="F907" s="2"/>
      <c r="G907" s="2"/>
      <c r="L907" s="29"/>
    </row>
    <row r="908">
      <c r="B908" s="2"/>
      <c r="C908" s="2"/>
      <c r="D908" s="2"/>
      <c r="E908" s="2"/>
      <c r="F908" s="2"/>
      <c r="G908" s="2"/>
      <c r="L908" s="29"/>
    </row>
    <row r="909">
      <c r="B909" s="2"/>
      <c r="C909" s="2"/>
      <c r="D909" s="2"/>
      <c r="E909" s="2"/>
      <c r="F909" s="2"/>
      <c r="G909" s="2"/>
      <c r="L909" s="29"/>
    </row>
    <row r="910">
      <c r="B910" s="2"/>
      <c r="C910" s="2"/>
      <c r="D910" s="2"/>
      <c r="E910" s="2"/>
      <c r="F910" s="2"/>
      <c r="G910" s="2"/>
      <c r="L910" s="29"/>
    </row>
    <row r="911">
      <c r="B911" s="2"/>
      <c r="C911" s="2"/>
      <c r="D911" s="2"/>
      <c r="E911" s="2"/>
      <c r="F911" s="2"/>
      <c r="G911" s="2"/>
      <c r="L911" s="29"/>
    </row>
    <row r="912">
      <c r="B912" s="2"/>
      <c r="C912" s="2"/>
      <c r="D912" s="2"/>
      <c r="E912" s="2"/>
      <c r="F912" s="2"/>
      <c r="G912" s="2"/>
      <c r="L912" s="29"/>
    </row>
    <row r="913">
      <c r="B913" s="2"/>
      <c r="C913" s="2"/>
      <c r="D913" s="2"/>
      <c r="E913" s="2"/>
      <c r="F913" s="2"/>
      <c r="G913" s="2"/>
      <c r="L913" s="29"/>
    </row>
    <row r="914">
      <c r="B914" s="2"/>
      <c r="C914" s="2"/>
      <c r="D914" s="2"/>
      <c r="E914" s="2"/>
      <c r="F914" s="2"/>
      <c r="G914" s="2"/>
      <c r="L914" s="29"/>
    </row>
    <row r="915">
      <c r="B915" s="2"/>
      <c r="C915" s="2"/>
      <c r="D915" s="2"/>
      <c r="E915" s="2"/>
      <c r="F915" s="2"/>
      <c r="G915" s="2"/>
      <c r="L915" s="29"/>
    </row>
    <row r="916">
      <c r="B916" s="2"/>
      <c r="C916" s="2"/>
      <c r="D916" s="2"/>
      <c r="E916" s="2"/>
      <c r="F916" s="2"/>
      <c r="G916" s="2"/>
      <c r="L916" s="29"/>
    </row>
    <row r="917">
      <c r="B917" s="2"/>
      <c r="C917" s="2"/>
      <c r="D917" s="2"/>
      <c r="E917" s="2"/>
      <c r="F917" s="2"/>
      <c r="G917" s="2"/>
      <c r="L917" s="29"/>
    </row>
    <row r="918">
      <c r="B918" s="2"/>
      <c r="C918" s="2"/>
      <c r="D918" s="2"/>
      <c r="E918" s="2"/>
      <c r="F918" s="2"/>
      <c r="G918" s="2"/>
      <c r="L918" s="29"/>
    </row>
    <row r="919">
      <c r="B919" s="2"/>
      <c r="C919" s="2"/>
      <c r="D919" s="2"/>
      <c r="E919" s="2"/>
      <c r="F919" s="2"/>
      <c r="G919" s="2"/>
      <c r="L919" s="29"/>
    </row>
    <row r="920">
      <c r="B920" s="2"/>
      <c r="C920" s="2"/>
      <c r="D920" s="2"/>
      <c r="E920" s="2"/>
      <c r="F920" s="2"/>
      <c r="G920" s="2"/>
      <c r="L920" s="29"/>
    </row>
    <row r="921">
      <c r="B921" s="2"/>
      <c r="C921" s="2"/>
      <c r="D921" s="2"/>
      <c r="E921" s="2"/>
      <c r="F921" s="2"/>
      <c r="G921" s="2"/>
      <c r="L921" s="29"/>
    </row>
    <row r="922">
      <c r="B922" s="2"/>
      <c r="C922" s="2"/>
      <c r="D922" s="2"/>
      <c r="E922" s="2"/>
      <c r="F922" s="2"/>
      <c r="G922" s="2"/>
      <c r="L922" s="29"/>
    </row>
    <row r="923">
      <c r="B923" s="2"/>
      <c r="C923" s="2"/>
      <c r="D923" s="2"/>
      <c r="E923" s="2"/>
      <c r="F923" s="2"/>
      <c r="G923" s="2"/>
      <c r="L923" s="29"/>
    </row>
    <row r="924">
      <c r="B924" s="2"/>
      <c r="C924" s="2"/>
      <c r="D924" s="2"/>
      <c r="E924" s="2"/>
      <c r="F924" s="2"/>
      <c r="G924" s="2"/>
      <c r="L924" s="29"/>
    </row>
    <row r="925">
      <c r="B925" s="2"/>
      <c r="C925" s="2"/>
      <c r="D925" s="2"/>
      <c r="E925" s="2"/>
      <c r="F925" s="2"/>
      <c r="G925" s="2"/>
      <c r="L925" s="29"/>
    </row>
    <row r="926">
      <c r="B926" s="2"/>
      <c r="C926" s="2"/>
      <c r="D926" s="2"/>
      <c r="E926" s="2"/>
      <c r="F926" s="2"/>
      <c r="G926" s="2"/>
      <c r="L926" s="29"/>
    </row>
    <row r="927">
      <c r="B927" s="2"/>
      <c r="C927" s="2"/>
      <c r="D927" s="2"/>
      <c r="E927" s="2"/>
      <c r="F927" s="2"/>
      <c r="G927" s="2"/>
      <c r="L927" s="29"/>
    </row>
    <row r="928">
      <c r="B928" s="2"/>
      <c r="C928" s="2"/>
      <c r="D928" s="2"/>
      <c r="E928" s="2"/>
      <c r="F928" s="2"/>
      <c r="G928" s="2"/>
      <c r="L928" s="29"/>
    </row>
    <row r="929">
      <c r="B929" s="2"/>
      <c r="C929" s="2"/>
      <c r="D929" s="2"/>
      <c r="E929" s="2"/>
      <c r="F929" s="2"/>
      <c r="G929" s="2"/>
      <c r="L929" s="29"/>
    </row>
    <row r="930">
      <c r="B930" s="2"/>
      <c r="C930" s="2"/>
      <c r="D930" s="2"/>
      <c r="E930" s="2"/>
      <c r="F930" s="2"/>
      <c r="G930" s="2"/>
      <c r="L930" s="29"/>
    </row>
    <row r="931">
      <c r="B931" s="2"/>
      <c r="C931" s="2"/>
      <c r="D931" s="2"/>
      <c r="E931" s="2"/>
      <c r="F931" s="2"/>
      <c r="G931" s="2"/>
      <c r="L931" s="29"/>
    </row>
    <row r="932">
      <c r="B932" s="2"/>
      <c r="C932" s="2"/>
      <c r="D932" s="2"/>
      <c r="E932" s="2"/>
      <c r="F932" s="2"/>
      <c r="G932" s="2"/>
      <c r="L932" s="29"/>
    </row>
    <row r="933">
      <c r="B933" s="2"/>
      <c r="C933" s="2"/>
      <c r="D933" s="2"/>
      <c r="E933" s="2"/>
      <c r="F933" s="2"/>
      <c r="G933" s="2"/>
      <c r="L933" s="29"/>
    </row>
    <row r="934">
      <c r="B934" s="2"/>
      <c r="C934" s="2"/>
      <c r="D934" s="2"/>
      <c r="E934" s="2"/>
      <c r="F934" s="2"/>
      <c r="G934" s="2"/>
      <c r="L934" s="29"/>
    </row>
    <row r="935">
      <c r="B935" s="2"/>
      <c r="C935" s="2"/>
      <c r="D935" s="2"/>
      <c r="E935" s="2"/>
      <c r="F935" s="2"/>
      <c r="G935" s="2"/>
      <c r="L935" s="29"/>
    </row>
    <row r="936">
      <c r="B936" s="2"/>
      <c r="C936" s="2"/>
      <c r="D936" s="2"/>
      <c r="E936" s="2"/>
      <c r="F936" s="2"/>
      <c r="G936" s="2"/>
      <c r="L936" s="29"/>
    </row>
    <row r="937">
      <c r="B937" s="2"/>
      <c r="C937" s="2"/>
      <c r="D937" s="2"/>
      <c r="E937" s="2"/>
      <c r="F937" s="2"/>
      <c r="G937" s="2"/>
      <c r="L937" s="29"/>
    </row>
    <row r="938">
      <c r="B938" s="2"/>
      <c r="C938" s="2"/>
      <c r="D938" s="2"/>
      <c r="E938" s="2"/>
      <c r="F938" s="2"/>
      <c r="G938" s="2"/>
      <c r="L938" s="29"/>
    </row>
    <row r="939">
      <c r="B939" s="2"/>
      <c r="C939" s="2"/>
      <c r="D939" s="2"/>
      <c r="E939" s="2"/>
      <c r="F939" s="2"/>
      <c r="G939" s="2"/>
      <c r="L939" s="29"/>
    </row>
    <row r="940">
      <c r="B940" s="2"/>
      <c r="C940" s="2"/>
      <c r="D940" s="2"/>
      <c r="E940" s="2"/>
      <c r="F940" s="2"/>
      <c r="G940" s="2"/>
      <c r="L940" s="29"/>
    </row>
    <row r="941">
      <c r="B941" s="2"/>
      <c r="C941" s="2"/>
      <c r="D941" s="2"/>
      <c r="E941" s="2"/>
      <c r="F941" s="2"/>
      <c r="G941" s="2"/>
      <c r="L941" s="29"/>
    </row>
    <row r="942">
      <c r="B942" s="2"/>
      <c r="C942" s="2"/>
      <c r="D942" s="2"/>
      <c r="E942" s="2"/>
      <c r="F942" s="2"/>
      <c r="G942" s="2"/>
      <c r="L942" s="29"/>
    </row>
    <row r="943">
      <c r="B943" s="2"/>
      <c r="C943" s="2"/>
      <c r="D943" s="2"/>
      <c r="E943" s="2"/>
      <c r="F943" s="2"/>
      <c r="G943" s="2"/>
      <c r="L943" s="29"/>
    </row>
    <row r="944">
      <c r="B944" s="2"/>
      <c r="C944" s="2"/>
      <c r="D944" s="2"/>
      <c r="E944" s="2"/>
      <c r="F944" s="2"/>
      <c r="G944" s="2"/>
      <c r="L944" s="29"/>
    </row>
    <row r="945">
      <c r="B945" s="2"/>
      <c r="C945" s="2"/>
      <c r="D945" s="2"/>
      <c r="E945" s="2"/>
      <c r="F945" s="2"/>
      <c r="G945" s="2"/>
      <c r="L945" s="29"/>
    </row>
    <row r="946">
      <c r="B946" s="2"/>
      <c r="C946" s="2"/>
      <c r="D946" s="2"/>
      <c r="E946" s="2"/>
      <c r="F946" s="2"/>
      <c r="G946" s="2"/>
      <c r="L946" s="29"/>
    </row>
    <row r="947">
      <c r="B947" s="2"/>
      <c r="C947" s="2"/>
      <c r="D947" s="2"/>
      <c r="E947" s="2"/>
      <c r="F947" s="2"/>
      <c r="G947" s="2"/>
      <c r="L947" s="29"/>
    </row>
    <row r="948">
      <c r="B948" s="2"/>
      <c r="C948" s="2"/>
      <c r="D948" s="2"/>
      <c r="E948" s="2"/>
      <c r="F948" s="2"/>
      <c r="G948" s="2"/>
      <c r="L948" s="29"/>
    </row>
    <row r="949">
      <c r="B949" s="2"/>
      <c r="C949" s="2"/>
      <c r="D949" s="2"/>
      <c r="E949" s="2"/>
      <c r="F949" s="2"/>
      <c r="G949" s="2"/>
      <c r="L949" s="29"/>
    </row>
    <row r="950">
      <c r="B950" s="2"/>
      <c r="C950" s="2"/>
      <c r="D950" s="2"/>
      <c r="E950" s="2"/>
      <c r="F950" s="2"/>
      <c r="G950" s="2"/>
      <c r="L950" s="29"/>
    </row>
    <row r="951">
      <c r="B951" s="2"/>
      <c r="C951" s="2"/>
      <c r="D951" s="2"/>
      <c r="E951" s="2"/>
      <c r="F951" s="2"/>
      <c r="G951" s="2"/>
      <c r="L951" s="29"/>
    </row>
    <row r="952">
      <c r="B952" s="2"/>
      <c r="C952" s="2"/>
      <c r="D952" s="2"/>
      <c r="E952" s="2"/>
      <c r="F952" s="2"/>
      <c r="G952" s="2"/>
      <c r="L952" s="29"/>
    </row>
    <row r="953">
      <c r="B953" s="2"/>
      <c r="C953" s="2"/>
      <c r="D953" s="2"/>
      <c r="E953" s="2"/>
      <c r="F953" s="2"/>
      <c r="G953" s="2"/>
      <c r="L953" s="29"/>
    </row>
    <row r="954">
      <c r="B954" s="2"/>
      <c r="C954" s="2"/>
      <c r="D954" s="2"/>
      <c r="E954" s="2"/>
      <c r="F954" s="2"/>
      <c r="G954" s="2"/>
      <c r="L954" s="29"/>
    </row>
    <row r="955">
      <c r="B955" s="2"/>
      <c r="C955" s="2"/>
      <c r="D955" s="2"/>
      <c r="E955" s="2"/>
      <c r="F955" s="2"/>
      <c r="G955" s="2"/>
      <c r="L955" s="29"/>
    </row>
    <row r="956">
      <c r="B956" s="2"/>
      <c r="C956" s="2"/>
      <c r="D956" s="2"/>
      <c r="E956" s="2"/>
      <c r="F956" s="2"/>
      <c r="G956" s="2"/>
      <c r="L956" s="29"/>
    </row>
    <row r="957">
      <c r="B957" s="2"/>
      <c r="C957" s="2"/>
      <c r="D957" s="2"/>
      <c r="E957" s="2"/>
      <c r="F957" s="2"/>
      <c r="G957" s="2"/>
      <c r="L957" s="29"/>
    </row>
    <row r="958">
      <c r="B958" s="2"/>
      <c r="C958" s="2"/>
      <c r="D958" s="2"/>
      <c r="E958" s="2"/>
      <c r="F958" s="2"/>
      <c r="G958" s="2"/>
      <c r="L958" s="29"/>
    </row>
    <row r="959">
      <c r="B959" s="2"/>
      <c r="C959" s="2"/>
      <c r="D959" s="2"/>
      <c r="E959" s="2"/>
      <c r="F959" s="2"/>
      <c r="G959" s="2"/>
      <c r="L959" s="29"/>
    </row>
    <row r="960">
      <c r="B960" s="2"/>
      <c r="C960" s="2"/>
      <c r="D960" s="2"/>
      <c r="E960" s="2"/>
      <c r="F960" s="2"/>
      <c r="G960" s="2"/>
      <c r="L960" s="29"/>
    </row>
    <row r="961">
      <c r="B961" s="2"/>
      <c r="C961" s="2"/>
      <c r="D961" s="2"/>
      <c r="E961" s="2"/>
      <c r="F961" s="2"/>
      <c r="G961" s="2"/>
      <c r="L961" s="29"/>
    </row>
    <row r="962">
      <c r="B962" s="2"/>
      <c r="C962" s="2"/>
      <c r="D962" s="2"/>
      <c r="E962" s="2"/>
      <c r="F962" s="2"/>
      <c r="G962" s="2"/>
      <c r="L962" s="29"/>
    </row>
    <row r="963">
      <c r="B963" s="2"/>
      <c r="C963" s="2"/>
      <c r="D963" s="2"/>
      <c r="E963" s="2"/>
      <c r="F963" s="2"/>
      <c r="G963" s="2"/>
      <c r="L963" s="29"/>
    </row>
    <row r="964">
      <c r="B964" s="2"/>
      <c r="C964" s="2"/>
      <c r="D964" s="2"/>
      <c r="E964" s="2"/>
      <c r="F964" s="2"/>
      <c r="G964" s="2"/>
      <c r="L964" s="29"/>
    </row>
    <row r="965">
      <c r="B965" s="2"/>
      <c r="C965" s="2"/>
      <c r="D965" s="2"/>
      <c r="E965" s="2"/>
      <c r="F965" s="2"/>
      <c r="G965" s="2"/>
      <c r="L965" s="29"/>
    </row>
    <row r="966">
      <c r="B966" s="2"/>
      <c r="C966" s="2"/>
      <c r="D966" s="2"/>
      <c r="E966" s="2"/>
      <c r="F966" s="2"/>
      <c r="G966" s="2"/>
      <c r="L966" s="29"/>
    </row>
    <row r="967">
      <c r="B967" s="2"/>
      <c r="C967" s="2"/>
      <c r="D967" s="2"/>
      <c r="E967" s="2"/>
      <c r="F967" s="2"/>
      <c r="G967" s="2"/>
      <c r="L967" s="29"/>
    </row>
    <row r="968">
      <c r="B968" s="2"/>
      <c r="C968" s="2"/>
      <c r="D968" s="2"/>
      <c r="E968" s="2"/>
      <c r="F968" s="2"/>
      <c r="G968" s="2"/>
      <c r="L968" s="29"/>
    </row>
    <row r="969">
      <c r="B969" s="2"/>
      <c r="C969" s="2"/>
      <c r="D969" s="2"/>
      <c r="E969" s="2"/>
      <c r="F969" s="2"/>
      <c r="G969" s="2"/>
      <c r="L969" s="29"/>
    </row>
    <row r="970">
      <c r="B970" s="2"/>
      <c r="C970" s="2"/>
      <c r="D970" s="2"/>
      <c r="E970" s="2"/>
      <c r="F970" s="2"/>
      <c r="G970" s="2"/>
      <c r="L970" s="29"/>
    </row>
    <row r="971">
      <c r="B971" s="2"/>
      <c r="C971" s="2"/>
      <c r="D971" s="2"/>
      <c r="E971" s="2"/>
      <c r="F971" s="2"/>
      <c r="G971" s="2"/>
      <c r="L971" s="29"/>
    </row>
    <row r="972">
      <c r="B972" s="2"/>
      <c r="C972" s="2"/>
      <c r="D972" s="2"/>
      <c r="E972" s="2"/>
      <c r="F972" s="2"/>
      <c r="G972" s="2"/>
      <c r="L972" s="29"/>
    </row>
    <row r="973">
      <c r="B973" s="2"/>
      <c r="C973" s="2"/>
      <c r="D973" s="2"/>
      <c r="E973" s="2"/>
      <c r="F973" s="2"/>
      <c r="G973" s="2"/>
      <c r="L973" s="29"/>
    </row>
    <row r="974">
      <c r="B974" s="2"/>
      <c r="C974" s="2"/>
      <c r="D974" s="2"/>
      <c r="E974" s="2"/>
      <c r="F974" s="2"/>
      <c r="G974" s="2"/>
      <c r="L974" s="29"/>
    </row>
    <row r="975">
      <c r="B975" s="2"/>
      <c r="C975" s="2"/>
      <c r="D975" s="2"/>
      <c r="E975" s="2"/>
      <c r="F975" s="2"/>
      <c r="G975" s="2"/>
      <c r="L975" s="29"/>
    </row>
    <row r="976">
      <c r="B976" s="2"/>
      <c r="C976" s="2"/>
      <c r="D976" s="2"/>
      <c r="E976" s="2"/>
      <c r="F976" s="2"/>
      <c r="G976" s="2"/>
      <c r="L976" s="29"/>
    </row>
    <row r="977">
      <c r="B977" s="2"/>
      <c r="C977" s="2"/>
      <c r="D977" s="2"/>
      <c r="E977" s="2"/>
      <c r="F977" s="2"/>
      <c r="G977" s="2"/>
      <c r="L977" s="29"/>
    </row>
    <row r="978">
      <c r="B978" s="2"/>
      <c r="C978" s="2"/>
      <c r="D978" s="2"/>
      <c r="E978" s="2"/>
      <c r="F978" s="2"/>
      <c r="G978" s="2"/>
      <c r="L978" s="29"/>
    </row>
    <row r="979">
      <c r="B979" s="2"/>
      <c r="C979" s="2"/>
      <c r="D979" s="2"/>
      <c r="E979" s="2"/>
      <c r="F979" s="2"/>
      <c r="G979" s="2"/>
      <c r="L979" s="29"/>
    </row>
    <row r="980">
      <c r="B980" s="2"/>
      <c r="C980" s="2"/>
      <c r="D980" s="2"/>
      <c r="E980" s="2"/>
      <c r="F980" s="2"/>
      <c r="G980" s="2"/>
      <c r="L980" s="29"/>
    </row>
    <row r="981">
      <c r="B981" s="2"/>
      <c r="C981" s="2"/>
      <c r="D981" s="2"/>
      <c r="E981" s="2"/>
      <c r="F981" s="2"/>
      <c r="G981" s="2"/>
      <c r="L981" s="29"/>
    </row>
    <row r="982">
      <c r="B982" s="2"/>
      <c r="C982" s="2"/>
      <c r="D982" s="2"/>
      <c r="E982" s="2"/>
      <c r="F982" s="2"/>
      <c r="G982" s="2"/>
      <c r="L982" s="29"/>
    </row>
    <row r="983">
      <c r="B983" s="2"/>
      <c r="C983" s="2"/>
      <c r="D983" s="2"/>
      <c r="E983" s="2"/>
      <c r="F983" s="2"/>
      <c r="G983" s="2"/>
      <c r="L983" s="29"/>
    </row>
    <row r="984">
      <c r="B984" s="2"/>
      <c r="C984" s="2"/>
      <c r="D984" s="2"/>
      <c r="E984" s="2"/>
      <c r="F984" s="2"/>
      <c r="G984" s="2"/>
      <c r="L984" s="29"/>
    </row>
    <row r="985">
      <c r="B985" s="2"/>
      <c r="C985" s="2"/>
      <c r="D985" s="2"/>
      <c r="E985" s="2"/>
      <c r="F985" s="2"/>
      <c r="G985" s="2"/>
      <c r="L985" s="29"/>
    </row>
    <row r="986">
      <c r="B986" s="2"/>
      <c r="C986" s="2"/>
      <c r="D986" s="2"/>
      <c r="E986" s="2"/>
      <c r="F986" s="2"/>
      <c r="G986" s="2"/>
      <c r="L986" s="29"/>
    </row>
    <row r="987">
      <c r="B987" s="2"/>
      <c r="C987" s="2"/>
      <c r="D987" s="2"/>
      <c r="E987" s="2"/>
      <c r="F987" s="2"/>
      <c r="G987" s="2"/>
      <c r="L987" s="29"/>
    </row>
    <row r="988">
      <c r="B988" s="2"/>
      <c r="C988" s="2"/>
      <c r="D988" s="2"/>
      <c r="E988" s="2"/>
      <c r="F988" s="2"/>
      <c r="G988" s="2"/>
      <c r="L988" s="29"/>
    </row>
    <row r="989">
      <c r="B989" s="2"/>
      <c r="C989" s="2"/>
      <c r="D989" s="2"/>
      <c r="E989" s="2"/>
      <c r="F989" s="2"/>
      <c r="G989" s="2"/>
      <c r="L989" s="29"/>
    </row>
    <row r="990">
      <c r="B990" s="2"/>
      <c r="C990" s="2"/>
      <c r="D990" s="2"/>
      <c r="E990" s="2"/>
      <c r="F990" s="2"/>
      <c r="G990" s="2"/>
      <c r="L990" s="29"/>
    </row>
    <row r="991">
      <c r="B991" s="2"/>
      <c r="C991" s="2"/>
      <c r="D991" s="2"/>
      <c r="E991" s="2"/>
      <c r="F991" s="2"/>
      <c r="G991" s="2"/>
      <c r="L991" s="29"/>
    </row>
    <row r="992">
      <c r="B992" s="2"/>
      <c r="C992" s="2"/>
      <c r="D992" s="2"/>
      <c r="E992" s="2"/>
      <c r="F992" s="2"/>
      <c r="G992" s="2"/>
      <c r="L992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6" max="16" width="16.88"/>
    <col customWidth="1" min="17" max="17" width="15.63"/>
  </cols>
  <sheetData>
    <row r="1">
      <c r="A1" s="21" t="s">
        <v>65</v>
      </c>
      <c r="H1" s="21" t="s">
        <v>66</v>
      </c>
    </row>
    <row r="2">
      <c r="A2" s="42" t="s">
        <v>67</v>
      </c>
      <c r="B2" s="42" t="s">
        <v>58</v>
      </c>
      <c r="C2" s="42" t="s">
        <v>46</v>
      </c>
      <c r="D2" s="42" t="s">
        <v>48</v>
      </c>
      <c r="E2" s="42" t="s">
        <v>57</v>
      </c>
      <c r="F2" s="42" t="s">
        <v>68</v>
      </c>
      <c r="H2" s="42" t="s">
        <v>67</v>
      </c>
      <c r="I2" s="42" t="s">
        <v>58</v>
      </c>
      <c r="J2" s="42" t="s">
        <v>46</v>
      </c>
      <c r="K2" s="42" t="s">
        <v>48</v>
      </c>
      <c r="L2" s="42" t="s">
        <v>57</v>
      </c>
      <c r="M2" s="42" t="s">
        <v>68</v>
      </c>
      <c r="O2" s="2" t="s">
        <v>67</v>
      </c>
      <c r="P2" s="2" t="s">
        <v>58</v>
      </c>
      <c r="Q2" s="2" t="s">
        <v>46</v>
      </c>
      <c r="R2" s="2" t="s">
        <v>48</v>
      </c>
      <c r="S2" s="2" t="s">
        <v>57</v>
      </c>
    </row>
    <row r="3">
      <c r="A3" s="43" t="s">
        <v>69</v>
      </c>
      <c r="B3" s="44">
        <v>0.0</v>
      </c>
      <c r="C3" s="45">
        <v>8.0</v>
      </c>
      <c r="D3" s="45">
        <v>19.0</v>
      </c>
      <c r="E3" s="45">
        <v>7.0</v>
      </c>
      <c r="F3" s="45">
        <v>34.0</v>
      </c>
      <c r="G3" s="43"/>
      <c r="H3" s="43" t="s">
        <v>69</v>
      </c>
      <c r="I3" s="46">
        <f t="shared" ref="I3:M3" si="1">B3/B$9</f>
        <v>0</v>
      </c>
      <c r="J3" s="46">
        <f t="shared" si="1"/>
        <v>0.0001144230219</v>
      </c>
      <c r="K3" s="46">
        <f t="shared" si="1"/>
        <v>0.0002005827457</v>
      </c>
      <c r="L3" s="46">
        <f t="shared" si="1"/>
        <v>0.0001145737855</v>
      </c>
      <c r="M3" s="46">
        <f t="shared" si="1"/>
        <v>0.000143839847</v>
      </c>
      <c r="O3" s="2" t="s">
        <v>69</v>
      </c>
      <c r="P3" s="47">
        <v>56.8103636363636</v>
      </c>
      <c r="Q3" s="47">
        <v>60.5848881789137</v>
      </c>
      <c r="R3" s="47">
        <v>52.9483832335329</v>
      </c>
      <c r="S3" s="47">
        <v>75.4543027888446</v>
      </c>
    </row>
    <row r="4">
      <c r="A4" s="42" t="s">
        <v>70</v>
      </c>
      <c r="B4" s="2">
        <v>2475.0</v>
      </c>
      <c r="C4" s="2">
        <v>16690.0</v>
      </c>
      <c r="D4" s="2">
        <v>22601.0</v>
      </c>
      <c r="E4" s="2">
        <v>14564.0</v>
      </c>
      <c r="F4" s="2">
        <v>56330.0</v>
      </c>
      <c r="H4" s="48" t="s">
        <v>70</v>
      </c>
      <c r="I4" s="16">
        <f t="shared" ref="I4:M4" si="2">B4/B$9</f>
        <v>0.2326565144</v>
      </c>
      <c r="J4" s="16">
        <f t="shared" si="2"/>
        <v>0.2387150295</v>
      </c>
      <c r="K4" s="16">
        <f t="shared" si="2"/>
        <v>0.2385984545</v>
      </c>
      <c r="L4" s="16">
        <f t="shared" si="2"/>
        <v>0.2383789446</v>
      </c>
      <c r="M4" s="16">
        <f t="shared" si="2"/>
        <v>0.2383087818</v>
      </c>
      <c r="O4" s="2" t="s">
        <v>70</v>
      </c>
      <c r="P4" s="49">
        <v>79.0959154929577</v>
      </c>
      <c r="Q4" s="49">
        <v>68.4500871459695</v>
      </c>
      <c r="R4" s="49">
        <v>59.5480608365019</v>
      </c>
      <c r="S4" s="49">
        <v>69.5570572207084</v>
      </c>
    </row>
    <row r="5">
      <c r="A5" s="42" t="s">
        <v>71</v>
      </c>
      <c r="B5" s="2">
        <v>1977.0</v>
      </c>
      <c r="C5" s="2">
        <v>12551.0</v>
      </c>
      <c r="D5" s="2">
        <v>17152.0</v>
      </c>
      <c r="E5" s="2">
        <v>11012.0</v>
      </c>
      <c r="F5" s="2">
        <v>42692.0</v>
      </c>
      <c r="H5" s="42" t="s">
        <v>71</v>
      </c>
      <c r="I5" s="14">
        <f t="shared" ref="I5:M5" si="3">B5/B$9</f>
        <v>0.1858432036</v>
      </c>
      <c r="J5" s="14">
        <f t="shared" si="3"/>
        <v>0.1795154185</v>
      </c>
      <c r="K5" s="14">
        <f t="shared" si="3"/>
        <v>0.1810734344</v>
      </c>
      <c r="L5" s="14">
        <f t="shared" si="3"/>
        <v>0.1802409323</v>
      </c>
      <c r="M5" s="14">
        <f t="shared" si="3"/>
        <v>0.1806120809</v>
      </c>
      <c r="O5" s="2" t="s">
        <v>71</v>
      </c>
      <c r="P5" s="49">
        <v>81.71</v>
      </c>
      <c r="Q5" s="49">
        <v>64.7378061224489</v>
      </c>
      <c r="R5" s="49">
        <v>59.0536507936507</v>
      </c>
      <c r="S5" s="49">
        <v>54.3905339805825</v>
      </c>
    </row>
    <row r="6">
      <c r="A6" s="42" t="s">
        <v>72</v>
      </c>
      <c r="B6" s="2">
        <v>607.0</v>
      </c>
      <c r="C6" s="2">
        <v>3924.0</v>
      </c>
      <c r="D6" s="2">
        <v>5058.0</v>
      </c>
      <c r="E6" s="2">
        <v>3334.0</v>
      </c>
      <c r="F6" s="2">
        <v>12923.0</v>
      </c>
      <c r="H6" s="42" t="s">
        <v>72</v>
      </c>
      <c r="I6" s="14">
        <f t="shared" ref="I6:M6" si="4">B6/B$9</f>
        <v>0.05705959767</v>
      </c>
      <c r="J6" s="14">
        <f t="shared" si="4"/>
        <v>0.05612449225</v>
      </c>
      <c r="K6" s="14">
        <f t="shared" si="4"/>
        <v>0.05339723829</v>
      </c>
      <c r="L6" s="14">
        <f t="shared" si="4"/>
        <v>0.05456985727</v>
      </c>
      <c r="M6" s="14">
        <f t="shared" si="4"/>
        <v>0.05467183362</v>
      </c>
      <c r="O6" s="2" t="s">
        <v>72</v>
      </c>
      <c r="P6" s="50">
        <v>67.5986666666666</v>
      </c>
      <c r="Q6" s="50">
        <v>63.4733898305084</v>
      </c>
      <c r="R6" s="50">
        <v>42.3397222222222</v>
      </c>
      <c r="S6" s="50">
        <v>48.3382608695652</v>
      </c>
    </row>
    <row r="7">
      <c r="A7" s="42" t="s">
        <v>73</v>
      </c>
      <c r="B7" s="2">
        <v>4065.0</v>
      </c>
      <c r="C7" s="2">
        <v>26723.0</v>
      </c>
      <c r="D7" s="2">
        <v>36432.0</v>
      </c>
      <c r="E7" s="2">
        <v>23511.0</v>
      </c>
      <c r="F7" s="2">
        <v>90731.0</v>
      </c>
      <c r="H7" s="48" t="s">
        <v>73</v>
      </c>
      <c r="I7" s="16">
        <f t="shared" ref="I7:M7" si="5">B7/B$9</f>
        <v>0.3821206994</v>
      </c>
      <c r="J7" s="16">
        <f t="shared" si="5"/>
        <v>0.3822158018</v>
      </c>
      <c r="K7" s="16">
        <f t="shared" si="5"/>
        <v>0.3846121363</v>
      </c>
      <c r="L7" s="16">
        <f t="shared" si="5"/>
        <v>0.3848206102</v>
      </c>
      <c r="M7" s="16">
        <f t="shared" si="5"/>
        <v>0.3838450929</v>
      </c>
      <c r="O7" s="2" t="s">
        <v>73</v>
      </c>
      <c r="P7" s="51">
        <v>89.7910869565217</v>
      </c>
      <c r="Q7" s="51">
        <v>73.1031184668989</v>
      </c>
      <c r="R7" s="49">
        <v>54.312877094972</v>
      </c>
      <c r="S7" s="51">
        <v>70.1038949671772</v>
      </c>
    </row>
    <row r="8">
      <c r="A8" s="42" t="s">
        <v>74</v>
      </c>
      <c r="B8" s="2">
        <v>1514.0</v>
      </c>
      <c r="C8" s="2">
        <v>10020.0</v>
      </c>
      <c r="D8" s="2">
        <v>13462.0</v>
      </c>
      <c r="E8" s="2">
        <v>8668.0</v>
      </c>
      <c r="F8" s="2">
        <v>33664.0</v>
      </c>
      <c r="H8" s="42" t="s">
        <v>74</v>
      </c>
      <c r="I8" s="14">
        <f t="shared" ref="I8:M8" si="6">B8/B$9</f>
        <v>0.142319985</v>
      </c>
      <c r="J8" s="14">
        <f t="shared" si="6"/>
        <v>0.1433148349</v>
      </c>
      <c r="K8" s="14">
        <f t="shared" si="6"/>
        <v>0.1421181538</v>
      </c>
      <c r="L8" s="14">
        <f t="shared" si="6"/>
        <v>0.1418750818</v>
      </c>
      <c r="M8" s="14">
        <f t="shared" si="6"/>
        <v>0.1424183709</v>
      </c>
      <c r="O8" s="2" t="s">
        <v>74</v>
      </c>
      <c r="P8" s="49">
        <v>79.9264444444444</v>
      </c>
      <c r="Q8" s="49">
        <v>64.6504405286343</v>
      </c>
      <c r="R8" s="51">
        <v>74.5006692913386</v>
      </c>
      <c r="S8" s="51">
        <v>70.9663333333333</v>
      </c>
    </row>
    <row r="9">
      <c r="A9" s="42" t="s">
        <v>68</v>
      </c>
      <c r="B9" s="2">
        <v>10638.0</v>
      </c>
      <c r="C9" s="2">
        <v>69916.0</v>
      </c>
      <c r="D9" s="2">
        <v>94724.0</v>
      </c>
      <c r="E9" s="2">
        <v>61096.0</v>
      </c>
      <c r="F9" s="2">
        <v>236374.0</v>
      </c>
      <c r="H9" s="42" t="s">
        <v>68</v>
      </c>
      <c r="I9" s="14">
        <f t="shared" ref="I9:M9" si="7">B9/B$9</f>
        <v>1</v>
      </c>
      <c r="J9" s="14">
        <f t="shared" si="7"/>
        <v>1</v>
      </c>
      <c r="K9" s="14">
        <f t="shared" si="7"/>
        <v>1</v>
      </c>
      <c r="L9" s="14">
        <f t="shared" si="7"/>
        <v>1</v>
      </c>
      <c r="M9" s="14">
        <f t="shared" si="7"/>
        <v>1</v>
      </c>
    </row>
    <row r="11">
      <c r="A11" s="21" t="s">
        <v>75</v>
      </c>
      <c r="H11" s="21" t="s">
        <v>76</v>
      </c>
      <c r="O11" s="21" t="s">
        <v>76</v>
      </c>
    </row>
    <row r="12">
      <c r="A12" s="42" t="s">
        <v>67</v>
      </c>
      <c r="B12" s="42" t="s">
        <v>58</v>
      </c>
      <c r="C12" s="42" t="s">
        <v>46</v>
      </c>
      <c r="D12" s="42" t="s">
        <v>48</v>
      </c>
      <c r="E12" s="42" t="s">
        <v>57</v>
      </c>
      <c r="F12" s="42" t="s">
        <v>68</v>
      </c>
      <c r="H12" s="42" t="s">
        <v>67</v>
      </c>
      <c r="I12" s="42" t="s">
        <v>58</v>
      </c>
      <c r="J12" s="42" t="s">
        <v>46</v>
      </c>
      <c r="K12" s="42" t="s">
        <v>48</v>
      </c>
      <c r="L12" s="42" t="s">
        <v>57</v>
      </c>
      <c r="M12" s="42" t="s">
        <v>68</v>
      </c>
      <c r="O12" s="42" t="s">
        <v>67</v>
      </c>
      <c r="P12" s="42" t="s">
        <v>58</v>
      </c>
      <c r="Q12" s="42" t="s">
        <v>46</v>
      </c>
      <c r="R12" s="42" t="s">
        <v>48</v>
      </c>
      <c r="S12" s="42" t="s">
        <v>57</v>
      </c>
      <c r="T12" s="42" t="s">
        <v>68</v>
      </c>
    </row>
    <row r="13">
      <c r="A13" s="43" t="s">
        <v>69</v>
      </c>
      <c r="B13" s="44">
        <v>0.0</v>
      </c>
      <c r="C13" s="45">
        <v>2.0</v>
      </c>
      <c r="D13" s="45">
        <v>3.0</v>
      </c>
      <c r="E13" s="45">
        <v>2.0</v>
      </c>
      <c r="F13" s="45">
        <v>7.0</v>
      </c>
      <c r="G13" s="43"/>
      <c r="H13" s="43" t="s">
        <v>69</v>
      </c>
      <c r="I13" s="44" t="s">
        <v>14</v>
      </c>
      <c r="J13" s="46">
        <f t="shared" ref="J13:M13" si="8">C13/C3</f>
        <v>0.25</v>
      </c>
      <c r="K13" s="46">
        <f t="shared" si="8"/>
        <v>0.1578947368</v>
      </c>
      <c r="L13" s="46">
        <f t="shared" si="8"/>
        <v>0.2857142857</v>
      </c>
      <c r="M13" s="46">
        <f t="shared" si="8"/>
        <v>0.2058823529</v>
      </c>
      <c r="N13" s="43"/>
      <c r="O13" s="43" t="s">
        <v>69</v>
      </c>
      <c r="P13" s="52" t="s">
        <v>14</v>
      </c>
      <c r="Q13" s="53">
        <f t="shared" ref="Q13:Q19" si="10">J13/0.22</f>
        <v>1.136363636</v>
      </c>
      <c r="R13" s="53">
        <f t="shared" ref="R13:R19" si="11">K13/0.178</f>
        <v>0.8870490834</v>
      </c>
      <c r="S13" s="53">
        <f t="shared" ref="S13:S19" si="12">L13/0.261</f>
        <v>1.09469075</v>
      </c>
      <c r="T13" s="53">
        <f t="shared" ref="T13:T19" si="13">M13/0.215</f>
        <v>0.9575923393</v>
      </c>
    </row>
    <row r="14">
      <c r="A14" s="42" t="s">
        <v>70</v>
      </c>
      <c r="B14" s="2">
        <v>601.0</v>
      </c>
      <c r="C14" s="2">
        <v>3771.0</v>
      </c>
      <c r="D14" s="2">
        <v>3988.0</v>
      </c>
      <c r="E14" s="2">
        <v>3775.0</v>
      </c>
      <c r="F14" s="2">
        <v>12135.0</v>
      </c>
      <c r="H14" s="42" t="s">
        <v>70</v>
      </c>
      <c r="I14" s="14">
        <f t="shared" ref="I14:M14" si="9">B14/B4</f>
        <v>0.2428282828</v>
      </c>
      <c r="J14" s="14">
        <f t="shared" si="9"/>
        <v>0.2259436788</v>
      </c>
      <c r="K14" s="14">
        <f t="shared" si="9"/>
        <v>0.1764523694</v>
      </c>
      <c r="L14" s="14">
        <f t="shared" si="9"/>
        <v>0.259200769</v>
      </c>
      <c r="M14" s="14">
        <f t="shared" si="9"/>
        <v>0.2154269483</v>
      </c>
      <c r="O14" s="42" t="s">
        <v>70</v>
      </c>
      <c r="P14" s="54">
        <f t="shared" ref="P14:P19" si="15">I14/0.251</f>
        <v>0.9674433579</v>
      </c>
      <c r="Q14" s="55">
        <f t="shared" si="10"/>
        <v>1.027016722</v>
      </c>
      <c r="R14" s="55">
        <f t="shared" si="11"/>
        <v>0.9913054459</v>
      </c>
      <c r="S14" s="55">
        <f t="shared" si="12"/>
        <v>0.9931063947</v>
      </c>
      <c r="T14" s="55">
        <f t="shared" si="13"/>
        <v>1.001985806</v>
      </c>
    </row>
    <row r="15">
      <c r="A15" s="42" t="s">
        <v>71</v>
      </c>
      <c r="B15" s="2">
        <v>508.0</v>
      </c>
      <c r="C15" s="2">
        <v>2695.0</v>
      </c>
      <c r="D15" s="2">
        <v>3080.0</v>
      </c>
      <c r="E15" s="2">
        <v>2824.0</v>
      </c>
      <c r="F15" s="2">
        <v>9107.0</v>
      </c>
      <c r="H15" s="42" t="s">
        <v>71</v>
      </c>
      <c r="I15" s="14">
        <f t="shared" ref="I15:M15" si="14">B15/B5</f>
        <v>0.2569549823</v>
      </c>
      <c r="J15" s="14">
        <f t="shared" si="14"/>
        <v>0.2147239264</v>
      </c>
      <c r="K15" s="14">
        <f t="shared" si="14"/>
        <v>0.1795708955</v>
      </c>
      <c r="L15" s="14">
        <f t="shared" si="14"/>
        <v>0.2564475118</v>
      </c>
      <c r="M15" s="14">
        <f t="shared" si="14"/>
        <v>0.2133186545</v>
      </c>
      <c r="O15" s="42" t="s">
        <v>71</v>
      </c>
      <c r="P15" s="55">
        <f t="shared" si="15"/>
        <v>1.023725029</v>
      </c>
      <c r="Q15" s="55">
        <f t="shared" si="10"/>
        <v>0.9760178472</v>
      </c>
      <c r="R15" s="55">
        <f t="shared" si="11"/>
        <v>1.008825256</v>
      </c>
      <c r="S15" s="55">
        <f t="shared" si="12"/>
        <v>0.9825575165</v>
      </c>
      <c r="T15" s="55">
        <f t="shared" si="13"/>
        <v>0.9921797886</v>
      </c>
    </row>
    <row r="16">
      <c r="A16" s="42" t="s">
        <v>72</v>
      </c>
      <c r="B16" s="2">
        <v>160.0</v>
      </c>
      <c r="C16" s="2">
        <v>783.0</v>
      </c>
      <c r="D16" s="2">
        <v>888.0</v>
      </c>
      <c r="E16" s="2">
        <v>911.0</v>
      </c>
      <c r="F16" s="2">
        <v>2742.0</v>
      </c>
      <c r="H16" s="42" t="s">
        <v>72</v>
      </c>
      <c r="I16" s="14">
        <f t="shared" ref="I16:M16" si="16">B16/B6</f>
        <v>0.2635914333</v>
      </c>
      <c r="J16" s="14">
        <f t="shared" si="16"/>
        <v>0.1995412844</v>
      </c>
      <c r="K16" s="14">
        <f t="shared" si="16"/>
        <v>0.1755634638</v>
      </c>
      <c r="L16" s="14">
        <f t="shared" si="16"/>
        <v>0.2732453509</v>
      </c>
      <c r="M16" s="14">
        <f t="shared" si="16"/>
        <v>0.2121798344</v>
      </c>
      <c r="O16" s="42" t="s">
        <v>72</v>
      </c>
      <c r="P16" s="56">
        <f t="shared" si="15"/>
        <v>1.050165073</v>
      </c>
      <c r="Q16" s="54">
        <f t="shared" si="10"/>
        <v>0.9070058382</v>
      </c>
      <c r="R16" s="55">
        <f t="shared" si="11"/>
        <v>0.9863115945</v>
      </c>
      <c r="S16" s="56">
        <f t="shared" si="12"/>
        <v>1.046917053</v>
      </c>
      <c r="T16" s="55">
        <f t="shared" si="13"/>
        <v>0.9868829507</v>
      </c>
    </row>
    <row r="17">
      <c r="A17" s="42" t="s">
        <v>73</v>
      </c>
      <c r="B17" s="2">
        <v>1006.0</v>
      </c>
      <c r="C17" s="2">
        <v>5905.0</v>
      </c>
      <c r="D17" s="2">
        <v>6473.0</v>
      </c>
      <c r="E17" s="2">
        <v>6170.0</v>
      </c>
      <c r="F17" s="2">
        <v>19554.0</v>
      </c>
      <c r="H17" s="42" t="s">
        <v>73</v>
      </c>
      <c r="I17" s="14">
        <f t="shared" ref="I17:M17" si="17">B17/B7</f>
        <v>0.2474784748</v>
      </c>
      <c r="J17" s="14">
        <f t="shared" si="17"/>
        <v>0.2209706994</v>
      </c>
      <c r="K17" s="14">
        <f t="shared" si="17"/>
        <v>0.1776734739</v>
      </c>
      <c r="L17" s="14">
        <f t="shared" si="17"/>
        <v>0.2624303518</v>
      </c>
      <c r="M17" s="14">
        <f t="shared" si="17"/>
        <v>0.2155161962</v>
      </c>
      <c r="O17" s="42" t="s">
        <v>73</v>
      </c>
      <c r="P17" s="54">
        <f t="shared" si="15"/>
        <v>0.9859700191</v>
      </c>
      <c r="Q17" s="55">
        <f t="shared" si="10"/>
        <v>1.00441227</v>
      </c>
      <c r="R17" s="55">
        <f t="shared" si="11"/>
        <v>0.9981655835</v>
      </c>
      <c r="S17" s="55">
        <f t="shared" si="12"/>
        <v>1.005480275</v>
      </c>
      <c r="T17" s="55">
        <f t="shared" si="13"/>
        <v>1.002400913</v>
      </c>
    </row>
    <row r="18">
      <c r="A18" s="42" t="s">
        <v>74</v>
      </c>
      <c r="B18" s="2">
        <v>397.0</v>
      </c>
      <c r="C18" s="2">
        <v>2199.0</v>
      </c>
      <c r="D18" s="2">
        <v>2427.0</v>
      </c>
      <c r="E18" s="2">
        <v>2270.0</v>
      </c>
      <c r="F18" s="2">
        <v>7293.0</v>
      </c>
      <c r="H18" s="42" t="s">
        <v>74</v>
      </c>
      <c r="I18" s="14">
        <f t="shared" ref="I18:M18" si="18">B18/B8</f>
        <v>0.2622192867</v>
      </c>
      <c r="J18" s="14">
        <f t="shared" si="18"/>
        <v>0.2194610778</v>
      </c>
      <c r="K18" s="14">
        <f t="shared" si="18"/>
        <v>0.1802852474</v>
      </c>
      <c r="L18" s="14">
        <f t="shared" si="18"/>
        <v>0.2618827873</v>
      </c>
      <c r="M18" s="14">
        <f t="shared" si="18"/>
        <v>0.2166409221</v>
      </c>
      <c r="O18" s="42" t="s">
        <v>74</v>
      </c>
      <c r="P18" s="55">
        <f t="shared" si="15"/>
        <v>1.044698353</v>
      </c>
      <c r="Q18" s="55">
        <f t="shared" si="10"/>
        <v>0.9975503538</v>
      </c>
      <c r="R18" s="55">
        <f t="shared" si="11"/>
        <v>1.012838468</v>
      </c>
      <c r="S18" s="55">
        <f t="shared" si="12"/>
        <v>1.003382327</v>
      </c>
      <c r="T18" s="55">
        <f t="shared" si="13"/>
        <v>1.007632196</v>
      </c>
    </row>
    <row r="19">
      <c r="A19" s="42" t="s">
        <v>68</v>
      </c>
      <c r="B19" s="2">
        <v>2672.0</v>
      </c>
      <c r="C19" s="2">
        <v>15355.0</v>
      </c>
      <c r="D19" s="2">
        <v>16859.0</v>
      </c>
      <c r="E19" s="2">
        <v>15952.0</v>
      </c>
      <c r="F19" s="2">
        <v>50838.0</v>
      </c>
      <c r="H19" s="42" t="s">
        <v>68</v>
      </c>
      <c r="I19" s="14">
        <f t="shared" ref="I19:M19" si="19">B19/B9</f>
        <v>0.2511750329</v>
      </c>
      <c r="J19" s="14">
        <f t="shared" si="19"/>
        <v>0.2196206877</v>
      </c>
      <c r="K19" s="14">
        <f t="shared" si="19"/>
        <v>0.1779802373</v>
      </c>
      <c r="L19" s="14">
        <f t="shared" si="19"/>
        <v>0.2610972895</v>
      </c>
      <c r="M19" s="14">
        <f t="shared" si="19"/>
        <v>0.215074416</v>
      </c>
      <c r="O19" s="42" t="s">
        <v>68</v>
      </c>
      <c r="P19" s="55">
        <f t="shared" si="15"/>
        <v>1.000697342</v>
      </c>
      <c r="Q19" s="55">
        <f t="shared" si="10"/>
        <v>0.9982758531</v>
      </c>
      <c r="R19" s="55">
        <f t="shared" si="11"/>
        <v>0.9998889737</v>
      </c>
      <c r="S19" s="55">
        <f t="shared" si="12"/>
        <v>1.000372757</v>
      </c>
      <c r="T19" s="55">
        <f t="shared" si="13"/>
        <v>1.000346121</v>
      </c>
    </row>
    <row r="21">
      <c r="A21" s="21" t="s">
        <v>77</v>
      </c>
      <c r="H21" s="21" t="s">
        <v>78</v>
      </c>
      <c r="O21" s="21" t="s">
        <v>78</v>
      </c>
    </row>
    <row r="22">
      <c r="A22" s="42" t="s">
        <v>67</v>
      </c>
      <c r="B22" s="42" t="s">
        <v>58</v>
      </c>
      <c r="C22" s="42" t="s">
        <v>46</v>
      </c>
      <c r="D22" s="42" t="s">
        <v>48</v>
      </c>
      <c r="E22" s="42" t="s">
        <v>57</v>
      </c>
      <c r="F22" s="42" t="s">
        <v>68</v>
      </c>
      <c r="H22" s="42" t="s">
        <v>67</v>
      </c>
      <c r="I22" s="14" t="s">
        <v>58</v>
      </c>
      <c r="J22" s="14" t="s">
        <v>46</v>
      </c>
      <c r="K22" s="14" t="s">
        <v>48</v>
      </c>
      <c r="L22" s="14" t="s">
        <v>57</v>
      </c>
      <c r="M22" s="14" t="s">
        <v>68</v>
      </c>
      <c r="O22" s="42" t="s">
        <v>67</v>
      </c>
      <c r="P22" s="42" t="s">
        <v>58</v>
      </c>
      <c r="Q22" s="42" t="s">
        <v>46</v>
      </c>
      <c r="R22" s="42" t="s">
        <v>48</v>
      </c>
      <c r="S22" s="42" t="s">
        <v>57</v>
      </c>
      <c r="T22" s="42" t="s">
        <v>68</v>
      </c>
    </row>
    <row r="23">
      <c r="A23" s="43" t="s">
        <v>69</v>
      </c>
      <c r="B23" s="44">
        <v>0.0</v>
      </c>
      <c r="C23" s="45">
        <v>1.0</v>
      </c>
      <c r="D23" s="45">
        <v>1.0</v>
      </c>
      <c r="E23" s="45">
        <v>1.0</v>
      </c>
      <c r="F23" s="45">
        <v>3.0</v>
      </c>
      <c r="G23" s="43"/>
      <c r="H23" s="43" t="s">
        <v>69</v>
      </c>
      <c r="I23" s="44" t="s">
        <v>14</v>
      </c>
      <c r="J23" s="46">
        <f t="shared" ref="J23:M23" si="20">C23/C13</f>
        <v>0.5</v>
      </c>
      <c r="K23" s="46">
        <f t="shared" si="20"/>
        <v>0.3333333333</v>
      </c>
      <c r="L23" s="46">
        <f t="shared" si="20"/>
        <v>0.5</v>
      </c>
      <c r="M23" s="46">
        <f t="shared" si="20"/>
        <v>0.4285714286</v>
      </c>
      <c r="N23" s="43"/>
      <c r="O23" s="43" t="s">
        <v>69</v>
      </c>
      <c r="P23" s="52" t="s">
        <v>14</v>
      </c>
      <c r="Q23" s="53">
        <f t="shared" ref="Q23:Q29" si="22">J23/0.288</f>
        <v>1.736111111</v>
      </c>
      <c r="R23" s="53">
        <f t="shared" ref="R23:R29" si="23">K23/0.169</f>
        <v>1.972386588</v>
      </c>
      <c r="S23" s="53">
        <f t="shared" ref="S23:S29" si="24">L23/0.074</f>
        <v>6.756756757</v>
      </c>
      <c r="T23" s="53">
        <f t="shared" ref="T23:T29" si="25">M23/0.184</f>
        <v>2.329192547</v>
      </c>
    </row>
    <row r="24">
      <c r="A24" s="42" t="s">
        <v>70</v>
      </c>
      <c r="B24" s="2">
        <v>201.0</v>
      </c>
      <c r="C24" s="2">
        <v>1137.0</v>
      </c>
      <c r="D24" s="2">
        <v>710.0</v>
      </c>
      <c r="E24" s="2">
        <v>284.0</v>
      </c>
      <c r="F24" s="2">
        <v>2332.0</v>
      </c>
      <c r="H24" s="42" t="s">
        <v>70</v>
      </c>
      <c r="I24" s="14">
        <f t="shared" ref="I24:M24" si="21">B24/B14</f>
        <v>0.3344425957</v>
      </c>
      <c r="J24" s="14">
        <f t="shared" si="21"/>
        <v>0.3015115354</v>
      </c>
      <c r="K24" s="14">
        <f t="shared" si="21"/>
        <v>0.1780341023</v>
      </c>
      <c r="L24" s="14">
        <f t="shared" si="21"/>
        <v>0.07523178808</v>
      </c>
      <c r="M24" s="14">
        <f t="shared" si="21"/>
        <v>0.192171405</v>
      </c>
      <c r="O24" s="42" t="s">
        <v>70</v>
      </c>
      <c r="P24" s="55">
        <f t="shared" ref="P24:P29" si="27">I24/0.338</f>
        <v>0.9894751351</v>
      </c>
      <c r="Q24" s="56">
        <f t="shared" si="22"/>
        <v>1.046915053</v>
      </c>
      <c r="R24" s="56">
        <f t="shared" si="23"/>
        <v>1.053456227</v>
      </c>
      <c r="S24" s="55">
        <f t="shared" si="24"/>
        <v>1.016645785</v>
      </c>
      <c r="T24" s="56">
        <f t="shared" si="25"/>
        <v>1.04440981</v>
      </c>
    </row>
    <row r="25">
      <c r="A25" s="42" t="s">
        <v>71</v>
      </c>
      <c r="B25" s="2">
        <v>171.0</v>
      </c>
      <c r="C25" s="2">
        <v>776.0</v>
      </c>
      <c r="D25" s="2">
        <v>535.0</v>
      </c>
      <c r="E25" s="2">
        <v>215.0</v>
      </c>
      <c r="F25" s="2">
        <v>1697.0</v>
      </c>
      <c r="H25" s="42" t="s">
        <v>71</v>
      </c>
      <c r="I25" s="14">
        <f t="shared" ref="I25:M25" si="26">B25/B15</f>
        <v>0.3366141732</v>
      </c>
      <c r="J25" s="14">
        <f t="shared" si="26"/>
        <v>0.2879406308</v>
      </c>
      <c r="K25" s="14">
        <f t="shared" si="26"/>
        <v>0.1737012987</v>
      </c>
      <c r="L25" s="14">
        <f t="shared" si="26"/>
        <v>0.07613314448</v>
      </c>
      <c r="M25" s="14">
        <f t="shared" si="26"/>
        <v>0.1863401779</v>
      </c>
      <c r="O25" s="42" t="s">
        <v>71</v>
      </c>
      <c r="P25" s="55">
        <f t="shared" si="27"/>
        <v>0.9958999208</v>
      </c>
      <c r="Q25" s="55">
        <f t="shared" si="22"/>
        <v>0.9997938569</v>
      </c>
      <c r="R25" s="55">
        <f t="shared" si="23"/>
        <v>1.027818336</v>
      </c>
      <c r="S25" s="55">
        <f t="shared" si="24"/>
        <v>1.028826277</v>
      </c>
      <c r="T25" s="55">
        <f t="shared" si="25"/>
        <v>1.012718358</v>
      </c>
    </row>
    <row r="26">
      <c r="A26" s="42" t="s">
        <v>72</v>
      </c>
      <c r="B26" s="2">
        <v>54.0</v>
      </c>
      <c r="C26" s="2">
        <v>221.0</v>
      </c>
      <c r="D26" s="2">
        <v>132.0</v>
      </c>
      <c r="E26" s="2">
        <v>63.0</v>
      </c>
      <c r="F26" s="2">
        <v>470.0</v>
      </c>
      <c r="H26" s="42" t="s">
        <v>72</v>
      </c>
      <c r="I26" s="14">
        <f t="shared" ref="I26:M26" si="28">B26/B16</f>
        <v>0.3375</v>
      </c>
      <c r="J26" s="14">
        <f t="shared" si="28"/>
        <v>0.282247765</v>
      </c>
      <c r="K26" s="14">
        <f t="shared" si="28"/>
        <v>0.1486486486</v>
      </c>
      <c r="L26" s="14">
        <f t="shared" si="28"/>
        <v>0.06915477497</v>
      </c>
      <c r="M26" s="14">
        <f t="shared" si="28"/>
        <v>0.1714077316</v>
      </c>
      <c r="O26" s="42" t="s">
        <v>72</v>
      </c>
      <c r="P26" s="55">
        <f t="shared" si="27"/>
        <v>0.9985207101</v>
      </c>
      <c r="Q26" s="55">
        <f t="shared" si="22"/>
        <v>0.9800269618</v>
      </c>
      <c r="R26" s="54">
        <f t="shared" si="23"/>
        <v>0.8795778027</v>
      </c>
      <c r="S26" s="54">
        <f t="shared" si="24"/>
        <v>0.9345239861</v>
      </c>
      <c r="T26" s="54">
        <f t="shared" si="25"/>
        <v>0.9315637586</v>
      </c>
    </row>
    <row r="27">
      <c r="A27" s="42" t="s">
        <v>73</v>
      </c>
      <c r="B27" s="2">
        <v>343.0</v>
      </c>
      <c r="C27" s="2">
        <v>1662.0</v>
      </c>
      <c r="D27" s="2">
        <v>1048.0</v>
      </c>
      <c r="E27" s="2">
        <v>455.0</v>
      </c>
      <c r="F27" s="2">
        <v>3508.0</v>
      </c>
      <c r="H27" s="42" t="s">
        <v>73</v>
      </c>
      <c r="I27" s="14">
        <f t="shared" ref="I27:M27" si="29">B27/B17</f>
        <v>0.3409542744</v>
      </c>
      <c r="J27" s="14">
        <f t="shared" si="29"/>
        <v>0.2814563929</v>
      </c>
      <c r="K27" s="14">
        <f t="shared" si="29"/>
        <v>0.1619032906</v>
      </c>
      <c r="L27" s="14">
        <f t="shared" si="29"/>
        <v>0.0737439222</v>
      </c>
      <c r="M27" s="14">
        <f t="shared" si="29"/>
        <v>0.1794006341</v>
      </c>
      <c r="O27" s="42" t="s">
        <v>73</v>
      </c>
      <c r="P27" s="55">
        <f t="shared" si="27"/>
        <v>1.008740457</v>
      </c>
      <c r="Q27" s="55">
        <f t="shared" si="22"/>
        <v>0.977279142</v>
      </c>
      <c r="R27" s="55">
        <f t="shared" si="23"/>
        <v>0.9580076366</v>
      </c>
      <c r="S27" s="55">
        <f t="shared" si="24"/>
        <v>0.9965394892</v>
      </c>
      <c r="T27" s="55">
        <f t="shared" si="25"/>
        <v>0.9750034464</v>
      </c>
    </row>
    <row r="28">
      <c r="A28" s="42" t="s">
        <v>74</v>
      </c>
      <c r="B28" s="2">
        <v>134.0</v>
      </c>
      <c r="C28" s="2">
        <v>620.0</v>
      </c>
      <c r="D28" s="2">
        <v>419.0</v>
      </c>
      <c r="E28" s="2">
        <v>159.0</v>
      </c>
      <c r="F28" s="2">
        <v>1332.0</v>
      </c>
      <c r="H28" s="42" t="s">
        <v>74</v>
      </c>
      <c r="I28" s="14">
        <f t="shared" ref="I28:M28" si="30">B28/B18</f>
        <v>0.3375314861</v>
      </c>
      <c r="J28" s="14">
        <f t="shared" si="30"/>
        <v>0.2819463392</v>
      </c>
      <c r="K28" s="14">
        <f t="shared" si="30"/>
        <v>0.1726411207</v>
      </c>
      <c r="L28" s="14">
        <f t="shared" si="30"/>
        <v>0.07004405286</v>
      </c>
      <c r="M28" s="14">
        <f t="shared" si="30"/>
        <v>0.1826408885</v>
      </c>
      <c r="O28" s="42" t="s">
        <v>74</v>
      </c>
      <c r="P28" s="55">
        <f t="shared" si="27"/>
        <v>0.9986138643</v>
      </c>
      <c r="Q28" s="55">
        <f t="shared" si="22"/>
        <v>0.9789803446</v>
      </c>
      <c r="R28" s="55">
        <f t="shared" si="23"/>
        <v>1.021545093</v>
      </c>
      <c r="S28" s="54">
        <f t="shared" si="24"/>
        <v>0.9465412549</v>
      </c>
      <c r="T28" s="55">
        <f t="shared" si="25"/>
        <v>0.9926135246</v>
      </c>
    </row>
    <row r="29">
      <c r="A29" s="42" t="s">
        <v>68</v>
      </c>
      <c r="B29" s="2">
        <v>903.0</v>
      </c>
      <c r="C29" s="2">
        <v>4417.0</v>
      </c>
      <c r="D29" s="2">
        <v>2845.0</v>
      </c>
      <c r="E29" s="2">
        <v>1177.0</v>
      </c>
      <c r="F29" s="2">
        <v>9342.0</v>
      </c>
      <c r="H29" s="42" t="s">
        <v>68</v>
      </c>
      <c r="I29" s="14">
        <f t="shared" ref="I29:M29" si="31">B29/B19</f>
        <v>0.3379491018</v>
      </c>
      <c r="J29" s="14">
        <f t="shared" si="31"/>
        <v>0.2876587431</v>
      </c>
      <c r="K29" s="14">
        <f t="shared" si="31"/>
        <v>0.1687525951</v>
      </c>
      <c r="L29" s="14">
        <f t="shared" si="31"/>
        <v>0.07378385155</v>
      </c>
      <c r="M29" s="14">
        <f t="shared" si="31"/>
        <v>0.1837601794</v>
      </c>
      <c r="O29" s="42" t="s">
        <v>68</v>
      </c>
      <c r="P29" s="55">
        <f t="shared" si="27"/>
        <v>0.9998494136</v>
      </c>
      <c r="Q29" s="55">
        <f t="shared" si="22"/>
        <v>0.9988150801</v>
      </c>
      <c r="R29" s="55">
        <f t="shared" si="23"/>
        <v>0.9985360654</v>
      </c>
      <c r="S29" s="55">
        <f t="shared" si="24"/>
        <v>0.9970790751</v>
      </c>
      <c r="T29" s="55">
        <f t="shared" si="25"/>
        <v>0.9986966271</v>
      </c>
    </row>
    <row r="31">
      <c r="A31" s="21" t="s">
        <v>79</v>
      </c>
      <c r="H31" s="21" t="s">
        <v>80</v>
      </c>
      <c r="O31" s="21" t="s">
        <v>80</v>
      </c>
    </row>
    <row r="32">
      <c r="A32" s="42" t="s">
        <v>67</v>
      </c>
      <c r="B32" s="42" t="s">
        <v>58</v>
      </c>
      <c r="C32" s="42" t="s">
        <v>46</v>
      </c>
      <c r="D32" s="42" t="s">
        <v>48</v>
      </c>
      <c r="E32" s="42" t="s">
        <v>57</v>
      </c>
      <c r="F32" s="42" t="s">
        <v>68</v>
      </c>
      <c r="H32" s="42" t="s">
        <v>67</v>
      </c>
      <c r="I32" s="14" t="s">
        <v>58</v>
      </c>
      <c r="J32" s="14" t="s">
        <v>46</v>
      </c>
      <c r="K32" s="14" t="s">
        <v>48</v>
      </c>
      <c r="L32" s="14" t="s">
        <v>57</v>
      </c>
      <c r="M32" s="14" t="s">
        <v>68</v>
      </c>
      <c r="O32" s="42" t="s">
        <v>67</v>
      </c>
      <c r="P32" s="42" t="s">
        <v>58</v>
      </c>
      <c r="Q32" s="42" t="s">
        <v>46</v>
      </c>
      <c r="R32" s="42" t="s">
        <v>48</v>
      </c>
      <c r="S32" s="42" t="s">
        <v>57</v>
      </c>
      <c r="T32" s="42" t="s">
        <v>68</v>
      </c>
    </row>
    <row r="33">
      <c r="A33" s="43" t="s">
        <v>69</v>
      </c>
      <c r="B33" s="44">
        <v>0.0</v>
      </c>
      <c r="C33" s="45">
        <v>1.0</v>
      </c>
      <c r="D33" s="45">
        <v>0.0</v>
      </c>
      <c r="E33" s="45">
        <v>0.0</v>
      </c>
      <c r="F33" s="45">
        <v>1.0</v>
      </c>
      <c r="G33" s="43"/>
      <c r="H33" s="43" t="s">
        <v>69</v>
      </c>
      <c r="I33" s="44" t="s">
        <v>14</v>
      </c>
      <c r="J33" s="46">
        <f t="shared" ref="J33:M33" si="32">C33/C23</f>
        <v>1</v>
      </c>
      <c r="K33" s="46">
        <f t="shared" si="32"/>
        <v>0</v>
      </c>
      <c r="L33" s="46">
        <f t="shared" si="32"/>
        <v>0</v>
      </c>
      <c r="M33" s="46">
        <f t="shared" si="32"/>
        <v>0.3333333333</v>
      </c>
      <c r="N33" s="43"/>
      <c r="O33" s="43" t="s">
        <v>69</v>
      </c>
      <c r="P33" s="52" t="s">
        <v>14</v>
      </c>
      <c r="Q33" s="53">
        <f t="shared" ref="Q33:Q39" si="34">J33/0.233</f>
        <v>4.291845494</v>
      </c>
      <c r="R33" s="53">
        <f t="shared" ref="R33:R39" si="35">K33/0.227</f>
        <v>0</v>
      </c>
      <c r="S33" s="53">
        <f t="shared" ref="S33:S39" si="36">L33/0.266</f>
        <v>0</v>
      </c>
      <c r="T33" s="53">
        <f t="shared" ref="T33:T39" si="37">M33/0.236</f>
        <v>1.412429379</v>
      </c>
    </row>
    <row r="34">
      <c r="A34" s="42" t="s">
        <v>70</v>
      </c>
      <c r="B34" s="2">
        <v>53.0</v>
      </c>
      <c r="C34" s="2">
        <v>244.0</v>
      </c>
      <c r="D34" s="2">
        <v>165.0</v>
      </c>
      <c r="E34" s="2">
        <v>70.0</v>
      </c>
      <c r="F34" s="2">
        <v>532.0</v>
      </c>
      <c r="H34" s="42" t="s">
        <v>70</v>
      </c>
      <c r="I34" s="14">
        <f t="shared" ref="I34:M34" si="33">B34/B24</f>
        <v>0.263681592</v>
      </c>
      <c r="J34" s="14">
        <f t="shared" si="33"/>
        <v>0.2145998241</v>
      </c>
      <c r="K34" s="14">
        <f t="shared" si="33"/>
        <v>0.2323943662</v>
      </c>
      <c r="L34" s="14">
        <f t="shared" si="33"/>
        <v>0.2464788732</v>
      </c>
      <c r="M34" s="14">
        <f t="shared" si="33"/>
        <v>0.2281303602</v>
      </c>
      <c r="O34" s="42" t="s">
        <v>70</v>
      </c>
      <c r="P34" s="56">
        <f t="shared" ref="P34:P39" si="39">I34/0.244</f>
        <v>1.080662262</v>
      </c>
      <c r="Q34" s="54">
        <f t="shared" si="34"/>
        <v>0.921029288</v>
      </c>
      <c r="R34" s="55">
        <f t="shared" si="35"/>
        <v>1.023763728</v>
      </c>
      <c r="S34" s="54">
        <f t="shared" si="36"/>
        <v>0.9266123054</v>
      </c>
      <c r="T34" s="55">
        <f t="shared" si="37"/>
        <v>0.9666540687</v>
      </c>
    </row>
    <row r="35">
      <c r="A35" s="42" t="s">
        <v>71</v>
      </c>
      <c r="B35" s="2">
        <v>41.0</v>
      </c>
      <c r="C35" s="2">
        <v>190.0</v>
      </c>
      <c r="D35" s="2">
        <v>123.0</v>
      </c>
      <c r="E35" s="2">
        <v>62.0</v>
      </c>
      <c r="F35" s="2">
        <v>416.0</v>
      </c>
      <c r="H35" s="42" t="s">
        <v>71</v>
      </c>
      <c r="I35" s="14">
        <f t="shared" ref="I35:M35" si="38">B35/B25</f>
        <v>0.2397660819</v>
      </c>
      <c r="J35" s="14">
        <f t="shared" si="38"/>
        <v>0.2448453608</v>
      </c>
      <c r="K35" s="14">
        <f t="shared" si="38"/>
        <v>0.2299065421</v>
      </c>
      <c r="L35" s="14">
        <f t="shared" si="38"/>
        <v>0.288372093</v>
      </c>
      <c r="M35" s="14">
        <f t="shared" si="38"/>
        <v>0.2451384797</v>
      </c>
      <c r="O35" s="42" t="s">
        <v>71</v>
      </c>
      <c r="P35" s="55">
        <f t="shared" si="39"/>
        <v>0.9826478765</v>
      </c>
      <c r="Q35" s="55">
        <f t="shared" si="34"/>
        <v>1.050838458</v>
      </c>
      <c r="R35" s="55">
        <f t="shared" si="35"/>
        <v>1.01280415</v>
      </c>
      <c r="S35" s="56">
        <f t="shared" si="36"/>
        <v>1.084105613</v>
      </c>
      <c r="T35" s="55">
        <f t="shared" si="37"/>
        <v>1.038722371</v>
      </c>
    </row>
    <row r="36">
      <c r="A36" s="42" t="s">
        <v>72</v>
      </c>
      <c r="B36" s="2">
        <v>13.0</v>
      </c>
      <c r="C36" s="2">
        <v>54.0</v>
      </c>
      <c r="D36" s="2">
        <v>30.0</v>
      </c>
      <c r="E36" s="2">
        <v>19.0</v>
      </c>
      <c r="F36" s="2">
        <v>116.0</v>
      </c>
      <c r="H36" s="42" t="s">
        <v>72</v>
      </c>
      <c r="I36" s="14">
        <f t="shared" ref="I36:M36" si="40">B36/B26</f>
        <v>0.2407407407</v>
      </c>
      <c r="J36" s="14">
        <f t="shared" si="40"/>
        <v>0.2443438914</v>
      </c>
      <c r="K36" s="14">
        <f t="shared" si="40"/>
        <v>0.2272727273</v>
      </c>
      <c r="L36" s="14">
        <f t="shared" si="40"/>
        <v>0.3015873016</v>
      </c>
      <c r="M36" s="14">
        <f t="shared" si="40"/>
        <v>0.2468085106</v>
      </c>
      <c r="O36" s="42" t="s">
        <v>72</v>
      </c>
      <c r="P36" s="55">
        <f t="shared" si="39"/>
        <v>0.9866423801</v>
      </c>
      <c r="Q36" s="55">
        <f t="shared" si="34"/>
        <v>1.048686229</v>
      </c>
      <c r="R36" s="55">
        <f t="shared" si="35"/>
        <v>1.001201442</v>
      </c>
      <c r="S36" s="56">
        <f t="shared" si="36"/>
        <v>1.133786848</v>
      </c>
      <c r="T36" s="56">
        <f t="shared" si="37"/>
        <v>1.045798774</v>
      </c>
    </row>
    <row r="37">
      <c r="A37" s="42" t="s">
        <v>73</v>
      </c>
      <c r="B37" s="2">
        <v>83.0</v>
      </c>
      <c r="C37" s="2">
        <v>405.0</v>
      </c>
      <c r="D37" s="2">
        <v>239.0</v>
      </c>
      <c r="E37" s="2">
        <v>125.0</v>
      </c>
      <c r="F37" s="2">
        <v>852.0</v>
      </c>
      <c r="H37" s="42" t="s">
        <v>73</v>
      </c>
      <c r="I37" s="14">
        <f t="shared" ref="I37:M37" si="41">B37/B27</f>
        <v>0.2419825073</v>
      </c>
      <c r="J37" s="14">
        <f t="shared" si="41"/>
        <v>0.2436823105</v>
      </c>
      <c r="K37" s="14">
        <f t="shared" si="41"/>
        <v>0.2280534351</v>
      </c>
      <c r="L37" s="14">
        <f t="shared" si="41"/>
        <v>0.2747252747</v>
      </c>
      <c r="M37" s="14">
        <f t="shared" si="41"/>
        <v>0.2428734322</v>
      </c>
      <c r="O37" s="42" t="s">
        <v>73</v>
      </c>
      <c r="P37" s="55">
        <f t="shared" si="39"/>
        <v>0.9917315872</v>
      </c>
      <c r="Q37" s="55">
        <f t="shared" si="34"/>
        <v>1.045846826</v>
      </c>
      <c r="R37" s="55">
        <f t="shared" si="35"/>
        <v>1.004640683</v>
      </c>
      <c r="S37" s="55">
        <f t="shared" si="36"/>
        <v>1.032801785</v>
      </c>
      <c r="T37" s="55">
        <f t="shared" si="37"/>
        <v>1.029124713</v>
      </c>
    </row>
    <row r="38">
      <c r="A38" s="42" t="s">
        <v>74</v>
      </c>
      <c r="B38" s="2">
        <v>30.0</v>
      </c>
      <c r="C38" s="2">
        <v>136.0</v>
      </c>
      <c r="D38" s="2">
        <v>89.0</v>
      </c>
      <c r="E38" s="2">
        <v>37.0</v>
      </c>
      <c r="F38" s="2">
        <v>292.0</v>
      </c>
      <c r="H38" s="42" t="s">
        <v>74</v>
      </c>
      <c r="I38" s="14">
        <f t="shared" ref="I38:M38" si="42">B38/B28</f>
        <v>0.223880597</v>
      </c>
      <c r="J38" s="14">
        <f t="shared" si="42"/>
        <v>0.2193548387</v>
      </c>
      <c r="K38" s="14">
        <f t="shared" si="42"/>
        <v>0.2124105012</v>
      </c>
      <c r="L38" s="14">
        <f t="shared" si="42"/>
        <v>0.2327044025</v>
      </c>
      <c r="M38" s="14">
        <f t="shared" si="42"/>
        <v>0.2192192192</v>
      </c>
      <c r="O38" s="42" t="s">
        <v>74</v>
      </c>
      <c r="P38" s="54">
        <f t="shared" si="39"/>
        <v>0.9175434304</v>
      </c>
      <c r="Q38" s="54">
        <f t="shared" si="34"/>
        <v>0.941437076</v>
      </c>
      <c r="R38" s="54">
        <f t="shared" si="35"/>
        <v>0.9357290801</v>
      </c>
      <c r="S38" s="54">
        <f t="shared" si="36"/>
        <v>0.8748285809</v>
      </c>
      <c r="T38" s="54">
        <f t="shared" si="37"/>
        <v>0.9288949967</v>
      </c>
    </row>
    <row r="39">
      <c r="A39" s="42" t="s">
        <v>68</v>
      </c>
      <c r="B39" s="2">
        <v>220.0</v>
      </c>
      <c r="C39" s="2">
        <v>1030.0</v>
      </c>
      <c r="D39" s="2">
        <v>646.0</v>
      </c>
      <c r="E39" s="2">
        <v>313.0</v>
      </c>
      <c r="F39" s="2">
        <v>2209.0</v>
      </c>
      <c r="H39" s="42" t="s">
        <v>68</v>
      </c>
      <c r="I39" s="14">
        <f t="shared" ref="I39:M39" si="43">B39/B29</f>
        <v>0.2436323367</v>
      </c>
      <c r="J39" s="14">
        <f t="shared" si="43"/>
        <v>0.2331899479</v>
      </c>
      <c r="K39" s="14">
        <f t="shared" si="43"/>
        <v>0.2270650264</v>
      </c>
      <c r="L39" s="14">
        <f t="shared" si="43"/>
        <v>0.2659303314</v>
      </c>
      <c r="M39" s="14">
        <f t="shared" si="43"/>
        <v>0.2364590024</v>
      </c>
      <c r="O39" s="42" t="s">
        <v>68</v>
      </c>
      <c r="P39" s="55">
        <f t="shared" si="39"/>
        <v>0.998493183</v>
      </c>
      <c r="Q39" s="55">
        <f t="shared" si="34"/>
        <v>1.000815227</v>
      </c>
      <c r="R39" s="55">
        <f t="shared" si="35"/>
        <v>1.00028646</v>
      </c>
      <c r="S39" s="55">
        <f t="shared" si="36"/>
        <v>0.9997380878</v>
      </c>
      <c r="T39" s="55">
        <f t="shared" si="37"/>
        <v>1.001944925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1.0"/>
    <col customWidth="1" min="3" max="3" width="24.38"/>
    <col customWidth="1" min="4" max="7" width="21.0"/>
    <col customWidth="1" min="8" max="8" width="18.63"/>
  </cols>
  <sheetData>
    <row r="1">
      <c r="A1" s="1" t="s">
        <v>50</v>
      </c>
      <c r="B1" s="1" t="s">
        <v>67</v>
      </c>
      <c r="C1" s="1" t="s">
        <v>81</v>
      </c>
      <c r="D1" s="1" t="s">
        <v>82</v>
      </c>
      <c r="E1" s="1" t="s">
        <v>83</v>
      </c>
      <c r="F1" s="1" t="s">
        <v>53</v>
      </c>
      <c r="G1" s="57" t="s">
        <v>84</v>
      </c>
      <c r="H1" s="1" t="s">
        <v>85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7" t="s">
        <v>57</v>
      </c>
      <c r="B2" s="7" t="s">
        <v>74</v>
      </c>
      <c r="C2" s="7" t="s">
        <v>71</v>
      </c>
      <c r="D2" s="7" t="s">
        <v>86</v>
      </c>
      <c r="E2" s="7">
        <v>164.0</v>
      </c>
      <c r="F2" s="58">
        <v>12400.19</v>
      </c>
      <c r="G2" s="59">
        <v>75.61</v>
      </c>
      <c r="H2" s="14">
        <f>E2/(E2+E3)</f>
        <v>0.4555555556</v>
      </c>
    </row>
    <row r="3">
      <c r="A3" s="7" t="s">
        <v>57</v>
      </c>
      <c r="B3" s="7" t="s">
        <v>74</v>
      </c>
      <c r="C3" s="60" t="s">
        <v>87</v>
      </c>
      <c r="D3" s="7" t="s">
        <v>86</v>
      </c>
      <c r="E3" s="7">
        <v>196.0</v>
      </c>
      <c r="F3" s="58">
        <v>13147.69</v>
      </c>
      <c r="G3" s="58">
        <v>67.08</v>
      </c>
      <c r="H3" s="16">
        <f>1-H2</f>
        <v>0.5444444444</v>
      </c>
    </row>
    <row r="4">
      <c r="A4" s="7" t="s">
        <v>48</v>
      </c>
      <c r="B4" s="7" t="s">
        <v>74</v>
      </c>
      <c r="C4" s="60" t="s">
        <v>87</v>
      </c>
      <c r="D4" s="7" t="s">
        <v>86</v>
      </c>
      <c r="E4" s="7">
        <v>143.0</v>
      </c>
      <c r="F4" s="58">
        <v>10087.84</v>
      </c>
      <c r="G4" s="59">
        <v>70.54</v>
      </c>
      <c r="H4" s="16">
        <f>E4/(E4+E5)</f>
        <v>0.562992126</v>
      </c>
    </row>
    <row r="5">
      <c r="A5" s="7" t="s">
        <v>48</v>
      </c>
      <c r="B5" s="7" t="s">
        <v>74</v>
      </c>
      <c r="C5" s="7" t="s">
        <v>71</v>
      </c>
      <c r="D5" s="7" t="s">
        <v>86</v>
      </c>
      <c r="E5" s="7">
        <v>111.0</v>
      </c>
      <c r="F5" s="58">
        <v>8835.33</v>
      </c>
      <c r="G5" s="58">
        <v>79.6</v>
      </c>
      <c r="H5" s="14">
        <f>1-H4</f>
        <v>0.437007874</v>
      </c>
    </row>
    <row r="6">
      <c r="A6" s="7" t="s">
        <v>46</v>
      </c>
      <c r="B6" s="7" t="s">
        <v>74</v>
      </c>
      <c r="C6" s="7" t="s">
        <v>71</v>
      </c>
      <c r="D6" s="7" t="s">
        <v>86</v>
      </c>
      <c r="E6" s="7">
        <v>207.0</v>
      </c>
      <c r="F6" s="58">
        <v>11715.14</v>
      </c>
      <c r="G6" s="58">
        <v>56.59</v>
      </c>
      <c r="H6" s="14">
        <f>E6/(E6+E7)</f>
        <v>0.4559471366</v>
      </c>
    </row>
    <row r="7">
      <c r="A7" s="7" t="s">
        <v>46</v>
      </c>
      <c r="B7" s="7" t="s">
        <v>74</v>
      </c>
      <c r="C7" s="60" t="s">
        <v>87</v>
      </c>
      <c r="D7" s="7" t="s">
        <v>86</v>
      </c>
      <c r="E7" s="7">
        <v>247.0</v>
      </c>
      <c r="F7" s="58">
        <v>17636.16</v>
      </c>
      <c r="G7" s="59">
        <v>71.4</v>
      </c>
      <c r="H7" s="16">
        <f>1-H6</f>
        <v>0.5440528634</v>
      </c>
    </row>
    <row r="8">
      <c r="A8" s="7" t="s">
        <v>58</v>
      </c>
      <c r="B8" s="7" t="s">
        <v>74</v>
      </c>
      <c r="C8" s="7" t="s">
        <v>71</v>
      </c>
      <c r="D8" s="7" t="s">
        <v>86</v>
      </c>
      <c r="E8" s="7">
        <v>38.0</v>
      </c>
      <c r="F8" s="58">
        <v>2688.62</v>
      </c>
      <c r="G8" s="58">
        <v>70.75</v>
      </c>
      <c r="H8" s="14">
        <f>E8/(E8+E9)</f>
        <v>0.4222222222</v>
      </c>
    </row>
    <row r="9">
      <c r="A9" s="7" t="s">
        <v>58</v>
      </c>
      <c r="B9" s="7" t="s">
        <v>74</v>
      </c>
      <c r="C9" s="60" t="s">
        <v>87</v>
      </c>
      <c r="D9" s="7" t="s">
        <v>86</v>
      </c>
      <c r="E9" s="7">
        <v>52.0</v>
      </c>
      <c r="F9" s="58">
        <v>4504.76</v>
      </c>
      <c r="G9" s="59">
        <v>86.63</v>
      </c>
      <c r="H9" s="16">
        <f>1-H8</f>
        <v>0.5777777778</v>
      </c>
    </row>
    <row r="10">
      <c r="F10" s="61"/>
      <c r="H10" s="2"/>
    </row>
    <row r="11">
      <c r="A11" s="2"/>
      <c r="B11" s="2"/>
      <c r="C11" s="2"/>
      <c r="D11" s="2"/>
      <c r="E11" s="2"/>
      <c r="F11" s="49"/>
      <c r="G11" s="2"/>
      <c r="H11" s="2"/>
    </row>
    <row r="12">
      <c r="A12" s="2"/>
      <c r="B12" s="2"/>
      <c r="C12" s="2"/>
      <c r="D12" s="2"/>
      <c r="E12" s="2"/>
      <c r="F12" s="49"/>
      <c r="G12" s="2"/>
      <c r="H12" s="2"/>
    </row>
    <row r="13">
      <c r="A13" s="1" t="s">
        <v>50</v>
      </c>
      <c r="B13" s="1" t="s">
        <v>67</v>
      </c>
      <c r="C13" s="1" t="s">
        <v>81</v>
      </c>
      <c r="D13" s="1" t="s">
        <v>82</v>
      </c>
      <c r="E13" s="1" t="s">
        <v>83</v>
      </c>
      <c r="F13" s="57" t="s">
        <v>53</v>
      </c>
      <c r="G13" s="1" t="s">
        <v>84</v>
      </c>
      <c r="H13" s="2"/>
    </row>
    <row r="14">
      <c r="A14" s="7" t="s">
        <v>57</v>
      </c>
      <c r="B14" s="7" t="s">
        <v>72</v>
      </c>
      <c r="C14" s="7" t="s">
        <v>88</v>
      </c>
      <c r="D14" s="7" t="s">
        <v>71</v>
      </c>
      <c r="E14" s="7">
        <v>46.0</v>
      </c>
      <c r="F14" s="58">
        <v>2223.56</v>
      </c>
      <c r="G14" s="58">
        <v>48.34</v>
      </c>
      <c r="H14" s="2"/>
    </row>
    <row r="15">
      <c r="A15" s="7" t="s">
        <v>48</v>
      </c>
      <c r="B15" s="7" t="s">
        <v>72</v>
      </c>
      <c r="C15" s="7" t="s">
        <v>88</v>
      </c>
      <c r="D15" s="7" t="s">
        <v>71</v>
      </c>
      <c r="E15" s="7">
        <v>36.0</v>
      </c>
      <c r="F15" s="58">
        <v>1524.22999999999</v>
      </c>
      <c r="G15" s="58">
        <v>42.34</v>
      </c>
      <c r="H15" s="2"/>
    </row>
    <row r="16">
      <c r="A16" s="7" t="s">
        <v>46</v>
      </c>
      <c r="B16" s="7" t="s">
        <v>72</v>
      </c>
      <c r="C16" s="7" t="s">
        <v>88</v>
      </c>
      <c r="D16" s="7" t="s">
        <v>71</v>
      </c>
      <c r="E16" s="7">
        <v>59.0</v>
      </c>
      <c r="F16" s="58">
        <v>3744.93</v>
      </c>
      <c r="G16" s="58">
        <v>63.47</v>
      </c>
      <c r="H16" s="2"/>
    </row>
    <row r="17">
      <c r="A17" s="7" t="s">
        <v>58</v>
      </c>
      <c r="B17" s="7" t="s">
        <v>72</v>
      </c>
      <c r="C17" s="7" t="s">
        <v>88</v>
      </c>
      <c r="D17" s="7" t="s">
        <v>71</v>
      </c>
      <c r="E17" s="7">
        <v>15.0</v>
      </c>
      <c r="F17" s="58">
        <v>1013.98</v>
      </c>
      <c r="G17" s="58">
        <v>67.6</v>
      </c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0" t="s">
        <v>89</v>
      </c>
      <c r="B20" s="2"/>
      <c r="C20" s="2"/>
      <c r="D20" s="2"/>
      <c r="E20" s="2"/>
      <c r="F20" s="2"/>
      <c r="G20" s="2"/>
      <c r="H20" s="2"/>
    </row>
    <row r="21">
      <c r="A21" s="20"/>
      <c r="B21" s="2"/>
      <c r="C21" s="2"/>
      <c r="D21" s="2"/>
      <c r="E21" s="2"/>
      <c r="F21" s="2"/>
      <c r="G21" s="2"/>
      <c r="H21" s="2"/>
    </row>
    <row r="22">
      <c r="B22" s="1"/>
      <c r="C22" s="1"/>
      <c r="D22" s="7"/>
      <c r="E22" s="7"/>
      <c r="F22" s="7"/>
      <c r="G22" s="7"/>
    </row>
    <row r="23" ht="18.0" customHeight="1"/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  <row r="31">
      <c r="A31" s="7"/>
      <c r="B31" s="7"/>
      <c r="C31" s="7"/>
      <c r="D31" s="7"/>
      <c r="E31" s="7"/>
      <c r="F31" s="7"/>
      <c r="G31" s="7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</sheetData>
  <hyperlinks>
    <hyperlink r:id="rId1" ref="C3"/>
    <hyperlink r:id="rId2" ref="C4"/>
    <hyperlink r:id="rId3" ref="C7"/>
    <hyperlink r:id="rId4" ref="C9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/>
  </sheetViews>
  <sheetFormatPr customHeight="1" defaultColWidth="12.63" defaultRowHeight="15.75"/>
  <cols>
    <col customWidth="1" min="1" max="8" width="22.38"/>
    <col customWidth="1" min="9" max="9" width="20.88"/>
  </cols>
  <sheetData>
    <row r="1">
      <c r="A1" s="7" t="s">
        <v>39</v>
      </c>
      <c r="B1" s="7" t="s">
        <v>67</v>
      </c>
      <c r="C1" s="7" t="s">
        <v>83</v>
      </c>
      <c r="D1" s="7" t="s">
        <v>90</v>
      </c>
      <c r="E1" s="7" t="s">
        <v>91</v>
      </c>
      <c r="F1" s="7" t="s">
        <v>53</v>
      </c>
      <c r="G1" s="7" t="s">
        <v>92</v>
      </c>
      <c r="H1" s="7" t="s">
        <v>93</v>
      </c>
      <c r="I1" s="7" t="s">
        <v>94</v>
      </c>
    </row>
    <row r="2">
      <c r="A2" s="7" t="s">
        <v>57</v>
      </c>
      <c r="B2" s="7" t="s">
        <v>73</v>
      </c>
      <c r="C2" s="7">
        <v>457.0</v>
      </c>
      <c r="D2" s="7">
        <v>131.0</v>
      </c>
      <c r="E2" s="8">
        <v>0.286652078774617</v>
      </c>
      <c r="F2" s="31">
        <v>32037.4799999999</v>
      </c>
      <c r="G2" s="31">
        <v>69.4051145038167</v>
      </c>
      <c r="H2" s="31">
        <v>70.3846932515337</v>
      </c>
      <c r="I2" s="14">
        <f t="shared" ref="I2:I25" si="1">(G2-H2)/H2</f>
        <v>-0.01391749687</v>
      </c>
    </row>
    <row r="3">
      <c r="A3" s="10" t="s">
        <v>57</v>
      </c>
      <c r="B3" s="10" t="s">
        <v>74</v>
      </c>
      <c r="C3" s="10">
        <v>360.0</v>
      </c>
      <c r="D3" s="10">
        <v>98.0</v>
      </c>
      <c r="E3" s="27">
        <v>0.272222222222222</v>
      </c>
      <c r="F3" s="37">
        <v>25547.88</v>
      </c>
      <c r="G3" s="37">
        <v>63.5574489795918</v>
      </c>
      <c r="H3" s="37">
        <v>73.7375954198473</v>
      </c>
      <c r="I3" s="11">
        <f t="shared" si="1"/>
        <v>-0.1380591052</v>
      </c>
    </row>
    <row r="4">
      <c r="A4" s="4" t="s">
        <v>57</v>
      </c>
      <c r="B4" s="4" t="s">
        <v>70</v>
      </c>
      <c r="C4" s="4">
        <v>367.0</v>
      </c>
      <c r="D4" s="4">
        <v>89.0</v>
      </c>
      <c r="E4" s="5">
        <v>0.2425068119891</v>
      </c>
      <c r="F4" s="34">
        <v>25527.44</v>
      </c>
      <c r="G4" s="34">
        <v>78.6517977528089</v>
      </c>
      <c r="H4" s="34">
        <v>66.6454316546762</v>
      </c>
      <c r="I4" s="16">
        <f t="shared" si="1"/>
        <v>0.1801528747</v>
      </c>
    </row>
    <row r="5">
      <c r="A5" s="44" t="s">
        <v>57</v>
      </c>
      <c r="B5" s="44" t="s">
        <v>69</v>
      </c>
      <c r="C5" s="44">
        <v>251.0</v>
      </c>
      <c r="D5" s="44">
        <v>72.0</v>
      </c>
      <c r="E5" s="62">
        <v>0.286852589641434</v>
      </c>
      <c r="F5" s="63">
        <v>18939.03</v>
      </c>
      <c r="G5" s="63">
        <v>64.9077777777777</v>
      </c>
      <c r="H5" s="63">
        <v>79.6964804469273</v>
      </c>
      <c r="I5" s="46">
        <f t="shared" si="1"/>
        <v>-0.1855628076</v>
      </c>
    </row>
    <row r="6">
      <c r="A6" s="7" t="s">
        <v>57</v>
      </c>
      <c r="B6" s="7" t="s">
        <v>71</v>
      </c>
      <c r="C6" s="7">
        <v>206.0</v>
      </c>
      <c r="D6" s="7">
        <v>46.0</v>
      </c>
      <c r="E6" s="8">
        <v>0.223300970873786</v>
      </c>
      <c r="F6" s="31">
        <v>11204.45</v>
      </c>
      <c r="G6" s="31">
        <v>56.4365217391304</v>
      </c>
      <c r="H6" s="31">
        <v>53.8023125</v>
      </c>
      <c r="I6" s="14">
        <f t="shared" si="1"/>
        <v>0.04896089251</v>
      </c>
    </row>
    <row r="7">
      <c r="A7" s="10" t="s">
        <v>57</v>
      </c>
      <c r="B7" s="10" t="s">
        <v>72</v>
      </c>
      <c r="C7" s="10">
        <v>46.0</v>
      </c>
      <c r="D7" s="10">
        <v>14.0</v>
      </c>
      <c r="E7" s="27">
        <v>0.304347826086956</v>
      </c>
      <c r="F7" s="37">
        <v>2223.56</v>
      </c>
      <c r="G7" s="37">
        <v>39.1057142857142</v>
      </c>
      <c r="H7" s="37">
        <v>52.3775</v>
      </c>
      <c r="I7" s="11">
        <f t="shared" si="1"/>
        <v>-0.2533871551</v>
      </c>
    </row>
    <row r="8">
      <c r="A8" s="7" t="s">
        <v>95</v>
      </c>
      <c r="B8" s="7" t="s">
        <v>73</v>
      </c>
      <c r="C8" s="7">
        <v>92.0</v>
      </c>
      <c r="D8" s="7">
        <v>57.0</v>
      </c>
      <c r="E8" s="8">
        <v>0.619565217391304</v>
      </c>
      <c r="F8" s="31">
        <v>8260.77999999999</v>
      </c>
      <c r="G8" s="31">
        <v>87.7722807017544</v>
      </c>
      <c r="H8" s="31">
        <v>93.0788571428571</v>
      </c>
      <c r="I8" s="14">
        <f t="shared" si="1"/>
        <v>-0.05701162008</v>
      </c>
    </row>
    <row r="9">
      <c r="A9" s="4" t="s">
        <v>95</v>
      </c>
      <c r="B9" s="4" t="s">
        <v>74</v>
      </c>
      <c r="C9" s="4">
        <v>90.0</v>
      </c>
      <c r="D9" s="4">
        <v>43.0</v>
      </c>
      <c r="E9" s="5">
        <v>0.477777777777777</v>
      </c>
      <c r="F9" s="34">
        <v>7193.37999999999</v>
      </c>
      <c r="G9" s="34">
        <v>89.5516279069767</v>
      </c>
      <c r="H9" s="34">
        <v>71.1204255319148</v>
      </c>
      <c r="I9" s="16">
        <f t="shared" si="1"/>
        <v>0.2591548383</v>
      </c>
    </row>
    <row r="10">
      <c r="A10" s="7" t="s">
        <v>95</v>
      </c>
      <c r="B10" s="7" t="s">
        <v>70</v>
      </c>
      <c r="C10" s="7">
        <v>71.0</v>
      </c>
      <c r="D10" s="7">
        <v>44.0</v>
      </c>
      <c r="E10" s="8">
        <v>0.619718309859154</v>
      </c>
      <c r="F10" s="31">
        <v>5615.80999999999</v>
      </c>
      <c r="G10" s="31">
        <v>80.2081818181818</v>
      </c>
      <c r="H10" s="31">
        <v>77.2833333333333</v>
      </c>
      <c r="I10" s="14">
        <f t="shared" si="1"/>
        <v>0.03784578587</v>
      </c>
    </row>
    <row r="11">
      <c r="A11" s="4" t="s">
        <v>95</v>
      </c>
      <c r="B11" s="4" t="s">
        <v>71</v>
      </c>
      <c r="C11" s="4">
        <v>44.0</v>
      </c>
      <c r="D11" s="4">
        <v>23.0</v>
      </c>
      <c r="E11" s="5">
        <v>0.522727272727272</v>
      </c>
      <c r="F11" s="34">
        <v>3595.24</v>
      </c>
      <c r="G11" s="34">
        <v>89.0313043478261</v>
      </c>
      <c r="H11" s="34">
        <v>73.6914285714285</v>
      </c>
      <c r="I11" s="16">
        <f t="shared" si="1"/>
        <v>0.2081636369</v>
      </c>
    </row>
    <row r="12">
      <c r="A12" s="44" t="s">
        <v>95</v>
      </c>
      <c r="B12" s="44" t="s">
        <v>69</v>
      </c>
      <c r="C12" s="44">
        <v>55.0</v>
      </c>
      <c r="D12" s="44">
        <v>36.0</v>
      </c>
      <c r="E12" s="62">
        <v>0.654545454545454</v>
      </c>
      <c r="F12" s="63">
        <v>3124.56999999999</v>
      </c>
      <c r="G12" s="63">
        <v>57.8236111111111</v>
      </c>
      <c r="H12" s="63">
        <v>54.8905263157894</v>
      </c>
      <c r="I12" s="46">
        <f t="shared" si="1"/>
        <v>0.05343517347</v>
      </c>
    </row>
    <row r="13">
      <c r="A13" s="7" t="s">
        <v>95</v>
      </c>
      <c r="B13" s="7" t="s">
        <v>72</v>
      </c>
      <c r="C13" s="7">
        <v>15.0</v>
      </c>
      <c r="D13" s="7">
        <v>11.0</v>
      </c>
      <c r="E13" s="8">
        <v>0.733333333333333</v>
      </c>
      <c r="F13" s="31">
        <v>1013.98</v>
      </c>
      <c r="G13" s="31">
        <v>66.0890909090909</v>
      </c>
      <c r="H13" s="31">
        <v>71.75</v>
      </c>
      <c r="I13" s="14">
        <f t="shared" si="1"/>
        <v>-0.07889768768</v>
      </c>
    </row>
    <row r="14">
      <c r="A14" s="4" t="s">
        <v>46</v>
      </c>
      <c r="B14" s="4" t="s">
        <v>73</v>
      </c>
      <c r="C14" s="4">
        <v>574.0</v>
      </c>
      <c r="D14" s="4">
        <v>376.0</v>
      </c>
      <c r="E14" s="5">
        <v>0.655052264808362</v>
      </c>
      <c r="F14" s="34">
        <v>41961.19</v>
      </c>
      <c r="G14" s="34">
        <v>79.8675265957446</v>
      </c>
      <c r="H14" s="34">
        <v>60.2575757575757</v>
      </c>
      <c r="I14" s="16">
        <f t="shared" si="1"/>
        <v>0.3254354426</v>
      </c>
    </row>
    <row r="15">
      <c r="A15" s="4" t="s">
        <v>46</v>
      </c>
      <c r="B15" s="4" t="s">
        <v>70</v>
      </c>
      <c r="C15" s="4">
        <v>459.0</v>
      </c>
      <c r="D15" s="4">
        <v>306.0</v>
      </c>
      <c r="E15" s="5">
        <v>0.666666666666666</v>
      </c>
      <c r="F15" s="34">
        <v>31418.59</v>
      </c>
      <c r="G15" s="34">
        <v>72.7380065359477</v>
      </c>
      <c r="H15" s="34">
        <v>59.874248366013</v>
      </c>
      <c r="I15" s="16">
        <f t="shared" si="1"/>
        <v>0.2148462573</v>
      </c>
    </row>
    <row r="16">
      <c r="A16" s="7" t="s">
        <v>46</v>
      </c>
      <c r="B16" s="7" t="s">
        <v>74</v>
      </c>
      <c r="C16" s="7">
        <v>454.0</v>
      </c>
      <c r="D16" s="7">
        <v>301.0</v>
      </c>
      <c r="E16" s="8">
        <v>0.662995594713656</v>
      </c>
      <c r="F16" s="31">
        <v>29351.2999999999</v>
      </c>
      <c r="G16" s="31">
        <v>65.5524252491694</v>
      </c>
      <c r="H16" s="31">
        <v>62.8759477124183</v>
      </c>
      <c r="I16" s="14">
        <f t="shared" si="1"/>
        <v>0.04256758958</v>
      </c>
    </row>
    <row r="17">
      <c r="A17" s="44" t="s">
        <v>46</v>
      </c>
      <c r="B17" s="44" t="s">
        <v>69</v>
      </c>
      <c r="C17" s="44">
        <v>313.0</v>
      </c>
      <c r="D17" s="44">
        <v>211.0</v>
      </c>
      <c r="E17" s="62">
        <v>0.674121405750798</v>
      </c>
      <c r="F17" s="63">
        <v>18963.07</v>
      </c>
      <c r="G17" s="63">
        <v>63.3274407582938</v>
      </c>
      <c r="H17" s="63">
        <v>54.9115686274509</v>
      </c>
      <c r="I17" s="46">
        <f t="shared" si="1"/>
        <v>0.1532622786</v>
      </c>
    </row>
    <row r="18">
      <c r="A18" s="7" t="s">
        <v>46</v>
      </c>
      <c r="B18" s="7" t="s">
        <v>71</v>
      </c>
      <c r="C18" s="7">
        <v>196.0</v>
      </c>
      <c r="D18" s="7">
        <v>131.0</v>
      </c>
      <c r="E18" s="8">
        <v>0.668367346938775</v>
      </c>
      <c r="F18" s="31">
        <v>12688.61</v>
      </c>
      <c r="G18" s="31">
        <v>66.2832061068702</v>
      </c>
      <c r="H18" s="31">
        <v>61.6232307692307</v>
      </c>
      <c r="I18" s="14">
        <f t="shared" si="1"/>
        <v>0.07562043209</v>
      </c>
    </row>
    <row r="19">
      <c r="A19" s="7" t="s">
        <v>46</v>
      </c>
      <c r="B19" s="7" t="s">
        <v>72</v>
      </c>
      <c r="C19" s="7">
        <v>59.0</v>
      </c>
      <c r="D19" s="7">
        <v>41.0</v>
      </c>
      <c r="E19" s="8">
        <v>0.694915254237288</v>
      </c>
      <c r="F19" s="31">
        <v>3744.93</v>
      </c>
      <c r="G19" s="31">
        <v>61.5675609756097</v>
      </c>
      <c r="H19" s="31">
        <v>67.8144444444444</v>
      </c>
      <c r="I19" s="14">
        <f t="shared" si="1"/>
        <v>-0.0921172992</v>
      </c>
    </row>
    <row r="20">
      <c r="A20" s="10" t="s">
        <v>48</v>
      </c>
      <c r="B20" s="10" t="s">
        <v>73</v>
      </c>
      <c r="C20" s="10">
        <v>358.0</v>
      </c>
      <c r="D20" s="10">
        <v>236.0</v>
      </c>
      <c r="E20" s="27">
        <v>0.659217877094972</v>
      </c>
      <c r="F20" s="37">
        <v>19444.01</v>
      </c>
      <c r="G20" s="37">
        <v>48.7041101694915</v>
      </c>
      <c r="H20" s="37">
        <v>65.1626229508196</v>
      </c>
      <c r="I20" s="11">
        <f t="shared" si="1"/>
        <v>-0.2525759713</v>
      </c>
    </row>
    <row r="21">
      <c r="A21" s="7" t="s">
        <v>48</v>
      </c>
      <c r="B21" s="7" t="s">
        <v>74</v>
      </c>
      <c r="C21" s="7">
        <v>254.0</v>
      </c>
      <c r="D21" s="7">
        <v>151.0</v>
      </c>
      <c r="E21" s="8">
        <v>0.594488188976378</v>
      </c>
      <c r="F21" s="31">
        <v>18923.1699999999</v>
      </c>
      <c r="G21" s="31">
        <v>74.7362913907284</v>
      </c>
      <c r="H21" s="31">
        <v>74.1552427184466</v>
      </c>
      <c r="I21" s="14">
        <f t="shared" si="1"/>
        <v>0.00783557104</v>
      </c>
    </row>
    <row r="22">
      <c r="A22" s="7" t="s">
        <v>48</v>
      </c>
      <c r="B22" s="7" t="s">
        <v>70</v>
      </c>
      <c r="C22" s="7">
        <v>263.0</v>
      </c>
      <c r="D22" s="7">
        <v>174.0</v>
      </c>
      <c r="E22" s="8">
        <v>0.661596958174904</v>
      </c>
      <c r="F22" s="31">
        <v>15661.14</v>
      </c>
      <c r="G22" s="31">
        <v>60.5298850574712</v>
      </c>
      <c r="H22" s="31">
        <v>57.6285393258427</v>
      </c>
      <c r="I22" s="14">
        <f t="shared" si="1"/>
        <v>0.05034564064</v>
      </c>
    </row>
    <row r="23">
      <c r="A23" s="44" t="s">
        <v>48</v>
      </c>
      <c r="B23" s="44" t="s">
        <v>69</v>
      </c>
      <c r="C23" s="44">
        <v>167.0</v>
      </c>
      <c r="D23" s="44">
        <v>117.0</v>
      </c>
      <c r="E23" s="62">
        <v>0.700598802395209</v>
      </c>
      <c r="F23" s="63">
        <v>8842.38</v>
      </c>
      <c r="G23" s="63">
        <v>50.9904273504273</v>
      </c>
      <c r="H23" s="63">
        <v>57.53</v>
      </c>
      <c r="I23" s="46">
        <f t="shared" si="1"/>
        <v>-0.1136723909</v>
      </c>
    </row>
    <row r="24">
      <c r="A24" s="7" t="s">
        <v>48</v>
      </c>
      <c r="B24" s="7" t="s">
        <v>71</v>
      </c>
      <c r="C24" s="7">
        <v>126.0</v>
      </c>
      <c r="D24" s="7">
        <v>95.0</v>
      </c>
      <c r="E24" s="8">
        <v>0.753968253968254</v>
      </c>
      <c r="F24" s="31">
        <v>7440.76</v>
      </c>
      <c r="G24" s="31">
        <v>58.8377894736842</v>
      </c>
      <c r="H24" s="31">
        <v>59.7151612903225</v>
      </c>
      <c r="I24" s="14">
        <f t="shared" si="1"/>
        <v>-0.01469261403</v>
      </c>
    </row>
    <row r="25">
      <c r="A25" s="4" t="s">
        <v>48</v>
      </c>
      <c r="B25" s="4" t="s">
        <v>72</v>
      </c>
      <c r="C25" s="4">
        <v>36.0</v>
      </c>
      <c r="D25" s="4">
        <v>27.0</v>
      </c>
      <c r="E25" s="5">
        <v>0.75</v>
      </c>
      <c r="F25" s="34">
        <v>1524.23</v>
      </c>
      <c r="G25" s="34">
        <v>43.8429629629629</v>
      </c>
      <c r="H25" s="34">
        <v>37.83</v>
      </c>
      <c r="I25" s="16">
        <f t="shared" si="1"/>
        <v>0.1589469459</v>
      </c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7" t="s">
        <v>50</v>
      </c>
      <c r="B28" s="7" t="s">
        <v>83</v>
      </c>
      <c r="C28" s="7" t="s">
        <v>90</v>
      </c>
      <c r="D28" s="7" t="s">
        <v>91</v>
      </c>
      <c r="E28" s="7" t="s">
        <v>53</v>
      </c>
      <c r="F28" s="7" t="s">
        <v>92</v>
      </c>
      <c r="G28" s="7" t="s">
        <v>93</v>
      </c>
      <c r="H28" s="7" t="s">
        <v>94</v>
      </c>
      <c r="I28" s="2"/>
    </row>
    <row r="29">
      <c r="A29" s="7" t="s">
        <v>57</v>
      </c>
      <c r="B29" s="7">
        <v>1687.0</v>
      </c>
      <c r="C29" s="7">
        <v>450.0</v>
      </c>
      <c r="D29" s="64">
        <v>0.266745702430349</v>
      </c>
      <c r="E29" s="58">
        <v>115479.84</v>
      </c>
      <c r="F29" s="65">
        <v>66.9725111111111</v>
      </c>
      <c r="G29" s="65">
        <v>68.9912772837509</v>
      </c>
      <c r="H29" s="14">
        <f t="shared" ref="H29:H32" si="2">(F29-G29)/G29</f>
        <v>-0.02926117985</v>
      </c>
      <c r="I29" s="7" t="s">
        <v>96</v>
      </c>
    </row>
    <row r="30">
      <c r="A30" s="7" t="s">
        <v>95</v>
      </c>
      <c r="B30" s="7">
        <v>367.0</v>
      </c>
      <c r="C30" s="7">
        <v>214.0</v>
      </c>
      <c r="D30" s="8">
        <v>0.583106267029972</v>
      </c>
      <c r="E30" s="58">
        <v>28803.7599999999</v>
      </c>
      <c r="F30" s="34">
        <v>80.5572429906542</v>
      </c>
      <c r="G30" s="31">
        <v>75.5850326797385</v>
      </c>
      <c r="H30" s="14">
        <f t="shared" si="2"/>
        <v>0.0657830014</v>
      </c>
      <c r="I30" s="7" t="s">
        <v>97</v>
      </c>
    </row>
    <row r="31">
      <c r="A31" s="7" t="s">
        <v>46</v>
      </c>
      <c r="B31" s="7">
        <v>2055.0</v>
      </c>
      <c r="C31" s="7">
        <v>1366.0</v>
      </c>
      <c r="D31" s="8">
        <v>0.664720194647202</v>
      </c>
      <c r="E31" s="58">
        <v>138127.69</v>
      </c>
      <c r="F31" s="34">
        <v>70.7091947291361</v>
      </c>
      <c r="G31" s="31">
        <v>60.2887227866473</v>
      </c>
      <c r="H31" s="14">
        <f t="shared" si="2"/>
        <v>0.1728428048</v>
      </c>
      <c r="I31" s="7" t="s">
        <v>97</v>
      </c>
    </row>
    <row r="32">
      <c r="A32" s="7" t="s">
        <v>48</v>
      </c>
      <c r="B32" s="7">
        <v>1204.0</v>
      </c>
      <c r="C32" s="7">
        <v>800.0</v>
      </c>
      <c r="D32" s="8">
        <v>0.664451827242524</v>
      </c>
      <c r="E32" s="58">
        <v>71835.69</v>
      </c>
      <c r="F32" s="31">
        <v>57.563475</v>
      </c>
      <c r="G32" s="34">
        <v>63.8240346534653</v>
      </c>
      <c r="H32" s="14">
        <f t="shared" si="2"/>
        <v>-0.09809094156</v>
      </c>
      <c r="I32" s="7" t="s">
        <v>98</v>
      </c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99</v>
      </c>
    </row>
    <row r="2">
      <c r="A2" s="66" t="s">
        <v>100</v>
      </c>
    </row>
    <row r="3">
      <c r="A3" s="67" t="s">
        <v>101</v>
      </c>
    </row>
    <row r="4">
      <c r="A4" s="67" t="s">
        <v>102</v>
      </c>
    </row>
    <row r="6">
      <c r="A6" s="66" t="s">
        <v>103</v>
      </c>
    </row>
    <row r="7">
      <c r="A7" s="67" t="s">
        <v>104</v>
      </c>
    </row>
    <row r="8">
      <c r="A8" s="67" t="s">
        <v>105</v>
      </c>
    </row>
    <row r="10">
      <c r="A10" s="66" t="s">
        <v>106</v>
      </c>
    </row>
    <row r="11">
      <c r="A11" s="67" t="s">
        <v>107</v>
      </c>
    </row>
    <row r="12">
      <c r="A12" s="67" t="s">
        <v>108</v>
      </c>
    </row>
    <row r="14">
      <c r="A14" s="66" t="s">
        <v>109</v>
      </c>
    </row>
    <row r="15">
      <c r="A15" s="67" t="s">
        <v>110</v>
      </c>
    </row>
    <row r="16">
      <c r="A16" s="67" t="s">
        <v>111</v>
      </c>
    </row>
    <row r="19">
      <c r="A19" s="19" t="s">
        <v>112</v>
      </c>
    </row>
    <row r="20">
      <c r="A20" s="19" t="s">
        <v>113</v>
      </c>
    </row>
    <row r="21">
      <c r="A21" s="67" t="s">
        <v>114</v>
      </c>
    </row>
    <row r="22">
      <c r="A22" s="67" t="s">
        <v>115</v>
      </c>
    </row>
    <row r="23">
      <c r="A23" s="67" t="s">
        <v>116</v>
      </c>
    </row>
    <row r="24">
      <c r="A24" s="67" t="s">
        <v>117</v>
      </c>
    </row>
    <row r="25">
      <c r="A25" s="67"/>
    </row>
    <row r="26">
      <c r="A26" s="19" t="s">
        <v>118</v>
      </c>
    </row>
    <row r="27">
      <c r="A27" s="21" t="s">
        <v>119</v>
      </c>
    </row>
    <row r="28">
      <c r="A28" s="21" t="s">
        <v>120</v>
      </c>
    </row>
    <row r="29">
      <c r="A29" s="21" t="s">
        <v>121</v>
      </c>
    </row>
    <row r="31">
      <c r="A31" s="19" t="s">
        <v>122</v>
      </c>
    </row>
    <row r="32">
      <c r="A32" s="21" t="s">
        <v>123</v>
      </c>
    </row>
    <row r="34">
      <c r="A34" s="68" t="s">
        <v>124</v>
      </c>
    </row>
    <row r="35">
      <c r="A35" s="21" t="s">
        <v>125</v>
      </c>
    </row>
    <row r="36">
      <c r="A36" s="21" t="s">
        <v>126</v>
      </c>
    </row>
    <row r="37">
      <c r="A37" s="21" t="s">
        <v>127</v>
      </c>
    </row>
    <row r="39">
      <c r="A39" s="19" t="s">
        <v>128</v>
      </c>
    </row>
    <row r="40">
      <c r="A40" s="22" t="s">
        <v>129</v>
      </c>
    </row>
    <row r="41">
      <c r="A41" s="22" t="s">
        <v>130</v>
      </c>
    </row>
    <row r="42">
      <c r="A42" s="22" t="s">
        <v>131</v>
      </c>
    </row>
    <row r="43">
      <c r="A43" s="22" t="s">
        <v>132</v>
      </c>
    </row>
    <row r="45">
      <c r="A45" s="19" t="s">
        <v>25</v>
      </c>
    </row>
    <row r="46">
      <c r="A46" s="21" t="s">
        <v>133</v>
      </c>
    </row>
    <row r="47">
      <c r="A47" s="21" t="s">
        <v>134</v>
      </c>
    </row>
    <row r="48">
      <c r="A48" s="21" t="s">
        <v>135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4" width="15.13"/>
    <col customWidth="1" min="5" max="5" width="18.0"/>
    <col customWidth="1" min="6" max="22" width="15.13"/>
  </cols>
  <sheetData>
    <row r="1">
      <c r="A1" s="1" t="s">
        <v>136</v>
      </c>
      <c r="B1" s="3" t="s">
        <v>137</v>
      </c>
      <c r="C1" s="3" t="s">
        <v>138</v>
      </c>
      <c r="D1" s="3" t="s">
        <v>139</v>
      </c>
      <c r="E1" s="69" t="s">
        <v>140</v>
      </c>
      <c r="F1" s="3" t="s">
        <v>141</v>
      </c>
      <c r="G1" s="3" t="s">
        <v>142</v>
      </c>
      <c r="H1" s="3" t="s">
        <v>143</v>
      </c>
      <c r="I1" s="3" t="s">
        <v>144</v>
      </c>
      <c r="J1" s="3" t="s">
        <v>145</v>
      </c>
      <c r="K1" s="70" t="s">
        <v>146</v>
      </c>
      <c r="L1" s="3" t="s">
        <v>147</v>
      </c>
      <c r="M1" s="3" t="s">
        <v>148</v>
      </c>
      <c r="N1" s="3" t="s">
        <v>149</v>
      </c>
      <c r="O1" s="3" t="s">
        <v>150</v>
      </c>
      <c r="P1" s="3" t="s">
        <v>151</v>
      </c>
      <c r="Q1" s="3" t="s">
        <v>152</v>
      </c>
      <c r="R1" s="3" t="s">
        <v>153</v>
      </c>
      <c r="S1" s="3" t="s">
        <v>154</v>
      </c>
      <c r="T1" s="1" t="s">
        <v>155</v>
      </c>
      <c r="U1" s="3" t="s">
        <v>156</v>
      </c>
      <c r="V1" s="3" t="s">
        <v>68</v>
      </c>
      <c r="W1" s="18"/>
      <c r="X1" s="18"/>
    </row>
    <row r="2">
      <c r="A2" s="2" t="s">
        <v>57</v>
      </c>
      <c r="B2" s="2">
        <v>664.0</v>
      </c>
      <c r="C2" s="2">
        <v>1917.0</v>
      </c>
      <c r="D2" s="2">
        <v>289.0</v>
      </c>
      <c r="E2" s="71">
        <v>1.0</v>
      </c>
      <c r="F2" s="2">
        <v>713.0</v>
      </c>
      <c r="G2" s="2">
        <v>220.0</v>
      </c>
      <c r="H2" s="2">
        <v>348.0</v>
      </c>
      <c r="I2" s="2">
        <v>21.0</v>
      </c>
      <c r="J2" s="2">
        <v>138.0</v>
      </c>
      <c r="K2" s="72">
        <v>1.0</v>
      </c>
      <c r="L2" s="2">
        <v>219.0</v>
      </c>
      <c r="M2" s="2">
        <v>289.0</v>
      </c>
      <c r="N2" s="2">
        <v>590.0</v>
      </c>
      <c r="O2" s="2">
        <v>34.0</v>
      </c>
      <c r="P2" s="2">
        <v>786.0</v>
      </c>
      <c r="Q2" s="2">
        <v>252.0</v>
      </c>
      <c r="R2" s="2">
        <v>38.0</v>
      </c>
      <c r="S2" s="2">
        <v>349.0</v>
      </c>
      <c r="T2" s="2">
        <v>475.0</v>
      </c>
      <c r="U2" s="2">
        <v>78.0</v>
      </c>
      <c r="V2" s="2">
        <v>7422.0</v>
      </c>
    </row>
    <row r="3">
      <c r="A3" s="2" t="s">
        <v>58</v>
      </c>
      <c r="B3" s="2">
        <v>122.0</v>
      </c>
      <c r="C3" s="2">
        <v>510.0</v>
      </c>
      <c r="D3" s="2">
        <v>85.0</v>
      </c>
      <c r="E3" s="71"/>
      <c r="F3" s="2">
        <v>137.0</v>
      </c>
      <c r="G3" s="2">
        <v>105.0</v>
      </c>
      <c r="H3" s="2">
        <v>74.0</v>
      </c>
      <c r="I3" s="2">
        <v>3.0</v>
      </c>
      <c r="J3" s="2">
        <v>3.0</v>
      </c>
      <c r="K3" s="72"/>
      <c r="L3" s="2">
        <v>20.0</v>
      </c>
      <c r="M3" s="2">
        <v>70.0</v>
      </c>
      <c r="N3" s="2">
        <v>196.0</v>
      </c>
      <c r="O3" s="2">
        <v>6.0</v>
      </c>
      <c r="P3" s="2">
        <v>99.0</v>
      </c>
      <c r="Q3" s="2">
        <v>86.0</v>
      </c>
      <c r="R3" s="2">
        <v>14.0</v>
      </c>
      <c r="S3" s="2">
        <v>48.0</v>
      </c>
      <c r="T3" s="2">
        <v>104.0</v>
      </c>
      <c r="U3" s="2">
        <v>26.0</v>
      </c>
      <c r="V3" s="2">
        <v>1708.0</v>
      </c>
    </row>
    <row r="4">
      <c r="A4" s="2" t="s">
        <v>46</v>
      </c>
      <c r="B4" s="2">
        <v>716.0</v>
      </c>
      <c r="C4" s="2">
        <v>1930.0</v>
      </c>
      <c r="D4" s="2">
        <v>441.0</v>
      </c>
      <c r="E4" s="71">
        <v>1.0</v>
      </c>
      <c r="F4" s="2">
        <v>860.0</v>
      </c>
      <c r="G4" s="2">
        <v>326.0</v>
      </c>
      <c r="H4" s="2">
        <v>518.0</v>
      </c>
      <c r="I4" s="2">
        <v>10.0</v>
      </c>
      <c r="J4" s="2">
        <v>5.0</v>
      </c>
      <c r="K4" s="72">
        <v>32.0</v>
      </c>
      <c r="L4" s="2">
        <v>175.0</v>
      </c>
      <c r="M4" s="2">
        <v>257.0</v>
      </c>
      <c r="N4" s="2">
        <v>973.0</v>
      </c>
      <c r="O4" s="2">
        <v>4.0</v>
      </c>
      <c r="P4" s="2">
        <v>700.0</v>
      </c>
      <c r="Q4" s="2">
        <v>494.0</v>
      </c>
      <c r="R4" s="2">
        <v>88.0</v>
      </c>
      <c r="S4" s="2">
        <v>178.0</v>
      </c>
      <c r="T4" s="2">
        <v>547.0</v>
      </c>
      <c r="U4" s="2">
        <v>137.0</v>
      </c>
      <c r="V4" s="2">
        <v>8392.0</v>
      </c>
    </row>
    <row r="5">
      <c r="A5" s="2" t="s">
        <v>48</v>
      </c>
      <c r="B5" s="2">
        <v>444.0</v>
      </c>
      <c r="C5" s="2">
        <v>981.0</v>
      </c>
      <c r="D5" s="2">
        <v>214.0</v>
      </c>
      <c r="E5" s="71"/>
      <c r="F5" s="2">
        <v>417.0</v>
      </c>
      <c r="G5" s="2">
        <v>238.0</v>
      </c>
      <c r="H5" s="2">
        <v>148.0</v>
      </c>
      <c r="I5" s="2">
        <v>21.0</v>
      </c>
      <c r="J5" s="2">
        <v>12.0</v>
      </c>
      <c r="K5" s="72">
        <v>25.0</v>
      </c>
      <c r="L5" s="2">
        <v>262.0</v>
      </c>
      <c r="M5" s="2">
        <v>170.0</v>
      </c>
      <c r="N5" s="2">
        <v>338.0</v>
      </c>
      <c r="O5" s="2">
        <v>65.0</v>
      </c>
      <c r="P5" s="2">
        <v>431.0</v>
      </c>
      <c r="Q5" s="2">
        <v>347.0</v>
      </c>
      <c r="R5" s="2">
        <v>50.0</v>
      </c>
      <c r="S5" s="2">
        <v>131.0</v>
      </c>
      <c r="T5" s="2">
        <v>244.0</v>
      </c>
      <c r="U5" s="2">
        <v>156.0</v>
      </c>
      <c r="V5" s="2">
        <v>4694.0</v>
      </c>
    </row>
    <row r="6">
      <c r="A6" s="2" t="s">
        <v>68</v>
      </c>
      <c r="B6" s="2">
        <v>1946.0</v>
      </c>
      <c r="C6" s="2">
        <v>5338.0</v>
      </c>
      <c r="D6" s="2">
        <v>1029.0</v>
      </c>
      <c r="E6" s="71">
        <v>2.0</v>
      </c>
      <c r="F6" s="2">
        <v>2127.0</v>
      </c>
      <c r="G6" s="2">
        <v>889.0</v>
      </c>
      <c r="H6" s="2">
        <v>1088.0</v>
      </c>
      <c r="I6" s="2">
        <v>55.0</v>
      </c>
      <c r="J6" s="2">
        <v>158.0</v>
      </c>
      <c r="K6" s="72">
        <v>58.0</v>
      </c>
      <c r="L6" s="2">
        <v>676.0</v>
      </c>
      <c r="M6" s="2">
        <v>786.0</v>
      </c>
      <c r="N6" s="2">
        <v>2097.0</v>
      </c>
      <c r="O6" s="2">
        <v>109.0</v>
      </c>
      <c r="P6" s="2">
        <v>2016.0</v>
      </c>
      <c r="Q6" s="2">
        <v>1179.0</v>
      </c>
      <c r="R6" s="2">
        <v>190.0</v>
      </c>
      <c r="S6" s="2">
        <v>706.0</v>
      </c>
      <c r="T6" s="2">
        <v>1370.0</v>
      </c>
      <c r="U6" s="2">
        <v>397.0</v>
      </c>
      <c r="V6" s="2">
        <v>22216.0</v>
      </c>
    </row>
    <row r="7">
      <c r="A7" s="2"/>
      <c r="B7" s="2"/>
      <c r="C7" s="2"/>
      <c r="D7" s="2"/>
      <c r="E7" s="71"/>
      <c r="F7" s="2"/>
      <c r="G7" s="2"/>
      <c r="H7" s="2"/>
      <c r="I7" s="2"/>
      <c r="J7" s="2"/>
      <c r="K7" s="7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" t="s">
        <v>136</v>
      </c>
      <c r="B8" s="3" t="s">
        <v>137</v>
      </c>
      <c r="C8" s="3" t="s">
        <v>138</v>
      </c>
      <c r="D8" s="3" t="s">
        <v>139</v>
      </c>
      <c r="E8" s="69" t="s">
        <v>140</v>
      </c>
      <c r="F8" s="3" t="s">
        <v>141</v>
      </c>
      <c r="G8" s="3" t="s">
        <v>142</v>
      </c>
      <c r="H8" s="3" t="s">
        <v>143</v>
      </c>
      <c r="I8" s="3" t="s">
        <v>144</v>
      </c>
      <c r="J8" s="3" t="s">
        <v>145</v>
      </c>
      <c r="K8" s="70" t="s">
        <v>146</v>
      </c>
      <c r="L8" s="3" t="s">
        <v>147</v>
      </c>
      <c r="M8" s="3" t="s">
        <v>148</v>
      </c>
      <c r="N8" s="3" t="s">
        <v>149</v>
      </c>
      <c r="O8" s="3" t="s">
        <v>150</v>
      </c>
      <c r="P8" s="3" t="s">
        <v>151</v>
      </c>
      <c r="Q8" s="3" t="s">
        <v>152</v>
      </c>
      <c r="R8" s="3" t="s">
        <v>153</v>
      </c>
      <c r="S8" s="3" t="s">
        <v>154</v>
      </c>
      <c r="T8" s="1" t="s">
        <v>155</v>
      </c>
      <c r="U8" s="3" t="s">
        <v>156</v>
      </c>
      <c r="V8" s="3" t="s">
        <v>68</v>
      </c>
    </row>
    <row r="9">
      <c r="A9" s="2" t="s">
        <v>57</v>
      </c>
      <c r="B9" s="14">
        <f t="shared" ref="B9:V9" si="1">B2/$V2</f>
        <v>0.0894637564</v>
      </c>
      <c r="C9" s="14">
        <f t="shared" si="1"/>
        <v>0.2582861762</v>
      </c>
      <c r="D9" s="14">
        <f t="shared" si="1"/>
        <v>0.03893829157</v>
      </c>
      <c r="E9" s="73">
        <f t="shared" si="1"/>
        <v>0.0001347345729</v>
      </c>
      <c r="F9" s="14">
        <f t="shared" si="1"/>
        <v>0.09606575047</v>
      </c>
      <c r="G9" s="14">
        <f t="shared" si="1"/>
        <v>0.02964160604</v>
      </c>
      <c r="H9" s="14">
        <f t="shared" si="1"/>
        <v>0.04688763137</v>
      </c>
      <c r="I9" s="14">
        <f t="shared" si="1"/>
        <v>0.002829426031</v>
      </c>
      <c r="J9" s="14">
        <f t="shared" si="1"/>
        <v>0.01859337106</v>
      </c>
      <c r="K9" s="74">
        <f t="shared" si="1"/>
        <v>0.0001347345729</v>
      </c>
      <c r="L9" s="14">
        <f t="shared" si="1"/>
        <v>0.02950687146</v>
      </c>
      <c r="M9" s="14">
        <f t="shared" si="1"/>
        <v>0.03893829157</v>
      </c>
      <c r="N9" s="14">
        <f t="shared" si="1"/>
        <v>0.07949339801</v>
      </c>
      <c r="O9" s="14">
        <f t="shared" si="1"/>
        <v>0.004580975478</v>
      </c>
      <c r="P9" s="14">
        <f t="shared" si="1"/>
        <v>0.1059013743</v>
      </c>
      <c r="Q9" s="14">
        <f t="shared" si="1"/>
        <v>0.03395311237</v>
      </c>
      <c r="R9" s="14">
        <f t="shared" si="1"/>
        <v>0.00511991377</v>
      </c>
      <c r="S9" s="14">
        <f t="shared" si="1"/>
        <v>0.04702236594</v>
      </c>
      <c r="T9" s="14">
        <f t="shared" si="1"/>
        <v>0.06399892212</v>
      </c>
      <c r="U9" s="14">
        <f t="shared" si="1"/>
        <v>0.01050929669</v>
      </c>
      <c r="V9" s="14">
        <f t="shared" si="1"/>
        <v>1</v>
      </c>
      <c r="W9" s="18"/>
      <c r="X9" s="18"/>
    </row>
    <row r="10">
      <c r="A10" s="2" t="s">
        <v>58</v>
      </c>
      <c r="B10" s="14">
        <f t="shared" ref="B10:V10" si="2">B3/$V3</f>
        <v>0.07142857143</v>
      </c>
      <c r="C10" s="14">
        <f t="shared" si="2"/>
        <v>0.2985948478</v>
      </c>
      <c r="D10" s="14">
        <f t="shared" si="2"/>
        <v>0.04976580796</v>
      </c>
      <c r="E10" s="73">
        <f t="shared" si="2"/>
        <v>0</v>
      </c>
      <c r="F10" s="14">
        <f t="shared" si="2"/>
        <v>0.08021077283</v>
      </c>
      <c r="G10" s="14">
        <f t="shared" si="2"/>
        <v>0.06147540984</v>
      </c>
      <c r="H10" s="14">
        <f t="shared" si="2"/>
        <v>0.04332552693</v>
      </c>
      <c r="I10" s="14">
        <f t="shared" si="2"/>
        <v>0.001756440281</v>
      </c>
      <c r="J10" s="14">
        <f t="shared" si="2"/>
        <v>0.001756440281</v>
      </c>
      <c r="K10" s="74">
        <f t="shared" si="2"/>
        <v>0</v>
      </c>
      <c r="L10" s="14">
        <f t="shared" si="2"/>
        <v>0.01170960187</v>
      </c>
      <c r="M10" s="14">
        <f t="shared" si="2"/>
        <v>0.04098360656</v>
      </c>
      <c r="N10" s="14">
        <f t="shared" si="2"/>
        <v>0.1147540984</v>
      </c>
      <c r="O10" s="14">
        <f t="shared" si="2"/>
        <v>0.003512880562</v>
      </c>
      <c r="P10" s="14">
        <f t="shared" si="2"/>
        <v>0.05796252927</v>
      </c>
      <c r="Q10" s="14">
        <f t="shared" si="2"/>
        <v>0.05035128806</v>
      </c>
      <c r="R10" s="14">
        <f t="shared" si="2"/>
        <v>0.008196721311</v>
      </c>
      <c r="S10" s="14">
        <f t="shared" si="2"/>
        <v>0.0281030445</v>
      </c>
      <c r="T10" s="14">
        <f t="shared" si="2"/>
        <v>0.06088992974</v>
      </c>
      <c r="U10" s="14">
        <f t="shared" si="2"/>
        <v>0.01522248244</v>
      </c>
      <c r="V10" s="14">
        <f t="shared" si="2"/>
        <v>1</v>
      </c>
    </row>
    <row r="11">
      <c r="A11" s="2" t="s">
        <v>46</v>
      </c>
      <c r="B11" s="14">
        <f t="shared" ref="B11:V11" si="3">B4/$V4</f>
        <v>0.08531935176</v>
      </c>
      <c r="C11" s="14">
        <f t="shared" si="3"/>
        <v>0.2299809342</v>
      </c>
      <c r="D11" s="14">
        <f t="shared" si="3"/>
        <v>0.05255004766</v>
      </c>
      <c r="E11" s="73">
        <f t="shared" si="3"/>
        <v>0.0001191611058</v>
      </c>
      <c r="F11" s="14">
        <f t="shared" si="3"/>
        <v>0.102478551</v>
      </c>
      <c r="G11" s="14">
        <f t="shared" si="3"/>
        <v>0.0388465205</v>
      </c>
      <c r="H11" s="14">
        <f t="shared" si="3"/>
        <v>0.06172545281</v>
      </c>
      <c r="I11" s="14">
        <f t="shared" si="3"/>
        <v>0.001191611058</v>
      </c>
      <c r="J11" s="14">
        <f t="shared" si="3"/>
        <v>0.0005958055291</v>
      </c>
      <c r="K11" s="74">
        <f t="shared" si="3"/>
        <v>0.003813155386</v>
      </c>
      <c r="L11" s="14">
        <f t="shared" si="3"/>
        <v>0.02085319352</v>
      </c>
      <c r="M11" s="14">
        <f t="shared" si="3"/>
        <v>0.03062440419</v>
      </c>
      <c r="N11" s="14">
        <f t="shared" si="3"/>
        <v>0.115943756</v>
      </c>
      <c r="O11" s="14">
        <f t="shared" si="3"/>
        <v>0.0004766444233</v>
      </c>
      <c r="P11" s="14">
        <f t="shared" si="3"/>
        <v>0.08341277407</v>
      </c>
      <c r="Q11" s="14">
        <f t="shared" si="3"/>
        <v>0.05886558627</v>
      </c>
      <c r="R11" s="14">
        <f t="shared" si="3"/>
        <v>0.01048617731</v>
      </c>
      <c r="S11" s="14">
        <f t="shared" si="3"/>
        <v>0.02121067684</v>
      </c>
      <c r="T11" s="14">
        <f t="shared" si="3"/>
        <v>0.06518112488</v>
      </c>
      <c r="U11" s="14">
        <f t="shared" si="3"/>
        <v>0.0163250715</v>
      </c>
      <c r="V11" s="14">
        <f t="shared" si="3"/>
        <v>1</v>
      </c>
    </row>
    <row r="12">
      <c r="A12" s="2" t="s">
        <v>48</v>
      </c>
      <c r="B12" s="14">
        <f t="shared" ref="B12:V12" si="4">B5/$V5</f>
        <v>0.09458883681</v>
      </c>
      <c r="C12" s="14">
        <f t="shared" si="4"/>
        <v>0.2089902003</v>
      </c>
      <c r="D12" s="14">
        <f t="shared" si="4"/>
        <v>0.04559011504</v>
      </c>
      <c r="E12" s="73">
        <f t="shared" si="4"/>
        <v>0</v>
      </c>
      <c r="F12" s="14">
        <f t="shared" si="4"/>
        <v>0.08883681295</v>
      </c>
      <c r="G12" s="14">
        <f t="shared" si="4"/>
        <v>0.05070302514</v>
      </c>
      <c r="H12" s="14">
        <f t="shared" si="4"/>
        <v>0.03152961227</v>
      </c>
      <c r="I12" s="14">
        <f t="shared" si="4"/>
        <v>0.004473796336</v>
      </c>
      <c r="J12" s="14">
        <f t="shared" si="4"/>
        <v>0.002556455049</v>
      </c>
      <c r="K12" s="74">
        <f t="shared" si="4"/>
        <v>0.005325948019</v>
      </c>
      <c r="L12" s="14">
        <f t="shared" si="4"/>
        <v>0.05581593524</v>
      </c>
      <c r="M12" s="14">
        <f t="shared" si="4"/>
        <v>0.03621644653</v>
      </c>
      <c r="N12" s="14">
        <f t="shared" si="4"/>
        <v>0.07200681721</v>
      </c>
      <c r="O12" s="14">
        <f t="shared" si="4"/>
        <v>0.01384746485</v>
      </c>
      <c r="P12" s="14">
        <f t="shared" si="4"/>
        <v>0.09181934384</v>
      </c>
      <c r="Q12" s="14">
        <f t="shared" si="4"/>
        <v>0.0739241585</v>
      </c>
      <c r="R12" s="14">
        <f t="shared" si="4"/>
        <v>0.01065189604</v>
      </c>
      <c r="S12" s="14">
        <f t="shared" si="4"/>
        <v>0.02790796762</v>
      </c>
      <c r="T12" s="14">
        <f t="shared" si="4"/>
        <v>0.05198125266</v>
      </c>
      <c r="U12" s="14">
        <f t="shared" si="4"/>
        <v>0.03323391564</v>
      </c>
      <c r="V12" s="14">
        <f t="shared" si="4"/>
        <v>1</v>
      </c>
    </row>
    <row r="13">
      <c r="B13" s="18"/>
      <c r="C13" s="18"/>
      <c r="D13" s="18"/>
      <c r="E13" s="75"/>
      <c r="F13" s="18"/>
      <c r="G13" s="18"/>
      <c r="H13" s="18"/>
      <c r="I13" s="18"/>
      <c r="J13" s="18"/>
      <c r="K13" s="7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>
      <c r="A14" s="1" t="s">
        <v>157</v>
      </c>
      <c r="B14" s="3" t="s">
        <v>137</v>
      </c>
      <c r="C14" s="3" t="s">
        <v>138</v>
      </c>
      <c r="D14" s="3" t="s">
        <v>139</v>
      </c>
      <c r="E14" s="69" t="s">
        <v>140</v>
      </c>
      <c r="F14" s="3" t="s">
        <v>141</v>
      </c>
      <c r="G14" s="3" t="s">
        <v>142</v>
      </c>
      <c r="H14" s="3" t="s">
        <v>143</v>
      </c>
      <c r="I14" s="3" t="s">
        <v>144</v>
      </c>
      <c r="J14" s="3" t="s">
        <v>145</v>
      </c>
      <c r="K14" s="70" t="s">
        <v>146</v>
      </c>
      <c r="L14" s="3" t="s">
        <v>147</v>
      </c>
      <c r="M14" s="3" t="s">
        <v>148</v>
      </c>
      <c r="N14" s="3" t="s">
        <v>149</v>
      </c>
      <c r="O14" s="3" t="s">
        <v>150</v>
      </c>
      <c r="P14" s="3" t="s">
        <v>151</v>
      </c>
      <c r="Q14" s="3" t="s">
        <v>152</v>
      </c>
      <c r="R14" s="3" t="s">
        <v>153</v>
      </c>
      <c r="S14" s="3" t="s">
        <v>154</v>
      </c>
      <c r="T14" s="1" t="s">
        <v>155</v>
      </c>
      <c r="U14" s="3" t="s">
        <v>156</v>
      </c>
      <c r="V14" s="3"/>
    </row>
    <row r="15">
      <c r="A15" s="7" t="s">
        <v>158</v>
      </c>
      <c r="B15" s="77">
        <f t="shared" ref="B15:U15" si="5">B10/B9</f>
        <v>0.7984079174</v>
      </c>
      <c r="C15" s="78">
        <f t="shared" si="5"/>
        <v>1.156062055</v>
      </c>
      <c r="D15" s="79">
        <f t="shared" si="5"/>
        <v>1.278068604</v>
      </c>
      <c r="E15" s="80">
        <f t="shared" si="5"/>
        <v>0</v>
      </c>
      <c r="F15" s="78">
        <f t="shared" si="5"/>
        <v>0.834957021</v>
      </c>
      <c r="G15" s="79">
        <f t="shared" si="5"/>
        <v>2.073956781</v>
      </c>
      <c r="H15" s="78">
        <f t="shared" si="5"/>
        <v>0.9240289106</v>
      </c>
      <c r="I15" s="77">
        <f t="shared" si="5"/>
        <v>0.6207761793</v>
      </c>
      <c r="J15" s="77">
        <f t="shared" si="5"/>
        <v>0.09446594033</v>
      </c>
      <c r="K15" s="81">
        <f t="shared" si="5"/>
        <v>0</v>
      </c>
      <c r="L15" s="77">
        <f t="shared" si="5"/>
        <v>0.3968432197</v>
      </c>
      <c r="M15" s="78">
        <f t="shared" si="5"/>
        <v>1.052527086</v>
      </c>
      <c r="N15" s="79">
        <f t="shared" si="5"/>
        <v>1.443567658</v>
      </c>
      <c r="O15" s="77">
        <f t="shared" si="5"/>
        <v>0.7668411627</v>
      </c>
      <c r="P15" s="77">
        <f t="shared" si="5"/>
        <v>0.5473255627</v>
      </c>
      <c r="Q15" s="79">
        <f t="shared" si="5"/>
        <v>1.482965317</v>
      </c>
      <c r="R15" s="79">
        <f t="shared" si="5"/>
        <v>1.600949094</v>
      </c>
      <c r="S15" s="77">
        <f t="shared" si="5"/>
        <v>0.5976527113</v>
      </c>
      <c r="T15" s="78">
        <f t="shared" si="5"/>
        <v>0.9514211759</v>
      </c>
      <c r="U15" s="79">
        <f t="shared" si="5"/>
        <v>1.448477752</v>
      </c>
      <c r="V15" s="78"/>
      <c r="W15" s="2"/>
      <c r="X15" s="2"/>
    </row>
    <row r="16">
      <c r="A16" s="7" t="s">
        <v>159</v>
      </c>
      <c r="B16" s="78">
        <f t="shared" ref="B16:U16" si="6">B11/B9</f>
        <v>0.9536750434</v>
      </c>
      <c r="C16" s="78">
        <f t="shared" si="6"/>
        <v>0.8904113165</v>
      </c>
      <c r="D16" s="79">
        <f t="shared" si="6"/>
        <v>1.349572504</v>
      </c>
      <c r="E16" s="80">
        <f t="shared" si="6"/>
        <v>0.8844137274</v>
      </c>
      <c r="F16" s="78">
        <f t="shared" si="6"/>
        <v>1.066754285</v>
      </c>
      <c r="G16" s="79">
        <f t="shared" si="6"/>
        <v>1.310540341</v>
      </c>
      <c r="H16" s="79">
        <f t="shared" si="6"/>
        <v>1.316454916</v>
      </c>
      <c r="I16" s="77">
        <f t="shared" si="6"/>
        <v>0.421149394</v>
      </c>
      <c r="J16" s="77">
        <f t="shared" si="6"/>
        <v>0.03204397563</v>
      </c>
      <c r="K16" s="81">
        <f t="shared" si="6"/>
        <v>28.30123928</v>
      </c>
      <c r="L16" s="77">
        <f t="shared" si="6"/>
        <v>0.7067232981</v>
      </c>
      <c r="M16" s="77">
        <f t="shared" si="6"/>
        <v>0.7864855638</v>
      </c>
      <c r="N16" s="79">
        <f t="shared" si="6"/>
        <v>1.458533147</v>
      </c>
      <c r="O16" s="77">
        <f t="shared" si="6"/>
        <v>0.1040486738</v>
      </c>
      <c r="P16" s="77">
        <f t="shared" si="6"/>
        <v>0.7876458132</v>
      </c>
      <c r="Q16" s="79">
        <f t="shared" si="6"/>
        <v>1.733731672</v>
      </c>
      <c r="R16" s="79">
        <f t="shared" si="6"/>
        <v>2.048116</v>
      </c>
      <c r="S16" s="77">
        <f t="shared" si="6"/>
        <v>0.4510763423</v>
      </c>
      <c r="T16" s="78">
        <f t="shared" si="6"/>
        <v>1.018472229</v>
      </c>
      <c r="U16" s="79">
        <f t="shared" si="6"/>
        <v>1.553393342</v>
      </c>
      <c r="V16" s="78"/>
      <c r="W16" s="2"/>
      <c r="X16" s="2"/>
    </row>
    <row r="17">
      <c r="A17" s="1"/>
      <c r="B17" s="3"/>
      <c r="C17" s="3"/>
      <c r="D17" s="3"/>
      <c r="E17" s="69"/>
      <c r="F17" s="3"/>
      <c r="G17" s="3"/>
      <c r="H17" s="3"/>
      <c r="I17" s="3"/>
      <c r="J17" s="3"/>
      <c r="K17" s="70"/>
      <c r="L17" s="3"/>
      <c r="M17" s="3"/>
      <c r="N17" s="3"/>
      <c r="O17" s="3"/>
      <c r="P17" s="3"/>
      <c r="Q17" s="3"/>
      <c r="R17" s="3"/>
      <c r="S17" s="3"/>
      <c r="T17" s="1"/>
      <c r="U17" s="3"/>
      <c r="V17" s="3"/>
    </row>
    <row r="18">
      <c r="A18" s="1" t="s">
        <v>160</v>
      </c>
      <c r="B18" s="3" t="s">
        <v>137</v>
      </c>
      <c r="C18" s="3" t="s">
        <v>138</v>
      </c>
      <c r="D18" s="3" t="s">
        <v>139</v>
      </c>
      <c r="E18" s="69" t="s">
        <v>140</v>
      </c>
      <c r="F18" s="3" t="s">
        <v>141</v>
      </c>
      <c r="G18" s="3" t="s">
        <v>142</v>
      </c>
      <c r="H18" s="3" t="s">
        <v>143</v>
      </c>
      <c r="I18" s="3" t="s">
        <v>144</v>
      </c>
      <c r="J18" s="3" t="s">
        <v>145</v>
      </c>
      <c r="K18" s="70" t="s">
        <v>146</v>
      </c>
      <c r="L18" s="3" t="s">
        <v>147</v>
      </c>
      <c r="M18" s="3" t="s">
        <v>148</v>
      </c>
      <c r="N18" s="3" t="s">
        <v>149</v>
      </c>
      <c r="O18" s="3" t="s">
        <v>150</v>
      </c>
      <c r="P18" s="3" t="s">
        <v>151</v>
      </c>
      <c r="Q18" s="3" t="s">
        <v>152</v>
      </c>
      <c r="R18" s="3" t="s">
        <v>153</v>
      </c>
      <c r="S18" s="3" t="s">
        <v>154</v>
      </c>
      <c r="T18" s="1" t="s">
        <v>155</v>
      </c>
      <c r="U18" s="3" t="s">
        <v>156</v>
      </c>
      <c r="V18" s="3" t="s">
        <v>68</v>
      </c>
    </row>
    <row r="19">
      <c r="A19" s="2" t="s">
        <v>57</v>
      </c>
      <c r="B19" s="2">
        <v>5361.0</v>
      </c>
      <c r="C19" s="2">
        <v>60109.0</v>
      </c>
      <c r="D19" s="2">
        <v>5470.0</v>
      </c>
      <c r="E19" s="71">
        <v>46.0</v>
      </c>
      <c r="F19" s="2">
        <v>6667.0</v>
      </c>
      <c r="G19" s="2">
        <v>2955.0</v>
      </c>
      <c r="H19" s="2">
        <v>5274.0</v>
      </c>
      <c r="I19" s="2">
        <v>216.0</v>
      </c>
      <c r="J19" s="2">
        <v>276.0</v>
      </c>
      <c r="K19" s="72">
        <v>50.0</v>
      </c>
      <c r="L19" s="2">
        <v>1023.0</v>
      </c>
      <c r="M19" s="2">
        <v>4009.0</v>
      </c>
      <c r="N19" s="2">
        <v>7186.0</v>
      </c>
      <c r="O19" s="2">
        <v>211.0</v>
      </c>
      <c r="P19" s="2">
        <v>3622.0</v>
      </c>
      <c r="Q19" s="2">
        <v>4252.0</v>
      </c>
      <c r="R19" s="2">
        <v>392.0</v>
      </c>
      <c r="S19" s="2">
        <v>470.0</v>
      </c>
      <c r="T19" s="2">
        <v>7984.0</v>
      </c>
      <c r="U19" s="2">
        <v>210.0</v>
      </c>
      <c r="V19" s="2">
        <v>115783.0</v>
      </c>
    </row>
    <row r="20">
      <c r="A20" s="2" t="s">
        <v>58</v>
      </c>
      <c r="B20" s="2">
        <v>1077.0</v>
      </c>
      <c r="C20" s="2">
        <v>15000.0</v>
      </c>
      <c r="D20" s="2">
        <v>1832.0</v>
      </c>
      <c r="E20" s="71"/>
      <c r="F20" s="2">
        <v>1252.0</v>
      </c>
      <c r="G20" s="2">
        <v>1356.0</v>
      </c>
      <c r="H20" s="2">
        <v>911.0</v>
      </c>
      <c r="I20" s="2">
        <v>32.0</v>
      </c>
      <c r="J20" s="2">
        <v>6.0</v>
      </c>
      <c r="K20" s="72"/>
      <c r="L20" s="2">
        <v>118.0</v>
      </c>
      <c r="M20" s="2">
        <v>1402.0</v>
      </c>
      <c r="N20" s="2">
        <v>2152.0</v>
      </c>
      <c r="O20" s="2">
        <v>33.0</v>
      </c>
      <c r="P20" s="2">
        <v>401.0</v>
      </c>
      <c r="Q20" s="2">
        <v>1253.0</v>
      </c>
      <c r="R20" s="2">
        <v>104.0</v>
      </c>
      <c r="S20" s="2">
        <v>81.0</v>
      </c>
      <c r="T20" s="2">
        <v>1160.0</v>
      </c>
      <c r="U20" s="2">
        <v>52.0</v>
      </c>
      <c r="V20" s="2">
        <v>28807.0</v>
      </c>
    </row>
    <row r="21">
      <c r="A21" s="2" t="s">
        <v>46</v>
      </c>
      <c r="B21" s="2">
        <v>6558.0</v>
      </c>
      <c r="C21" s="2">
        <v>58980.0</v>
      </c>
      <c r="D21" s="2">
        <v>11337.0</v>
      </c>
      <c r="E21" s="71">
        <v>58.0</v>
      </c>
      <c r="F21" s="2">
        <v>8199.0</v>
      </c>
      <c r="G21" s="2">
        <v>4684.0</v>
      </c>
      <c r="H21" s="2">
        <v>6911.0</v>
      </c>
      <c r="I21" s="2">
        <v>104.0</v>
      </c>
      <c r="J21" s="2">
        <v>10.0</v>
      </c>
      <c r="K21" s="72">
        <v>850.0</v>
      </c>
      <c r="L21" s="2">
        <v>1005.0</v>
      </c>
      <c r="M21" s="2">
        <v>4446.0</v>
      </c>
      <c r="N21" s="2">
        <v>12701.0</v>
      </c>
      <c r="O21" s="2">
        <v>27.0</v>
      </c>
      <c r="P21" s="2">
        <v>2835.0</v>
      </c>
      <c r="Q21" s="2">
        <v>7443.0</v>
      </c>
      <c r="R21" s="2">
        <v>778.0</v>
      </c>
      <c r="S21" s="2">
        <v>444.0</v>
      </c>
      <c r="T21" s="2">
        <v>10378.0</v>
      </c>
      <c r="U21" s="2">
        <v>319.0</v>
      </c>
      <c r="V21" s="2">
        <v>138067.0</v>
      </c>
    </row>
    <row r="22">
      <c r="A22" s="2" t="s">
        <v>48</v>
      </c>
      <c r="B22" s="2">
        <v>4331.0</v>
      </c>
      <c r="C22" s="2">
        <v>33985.0</v>
      </c>
      <c r="D22" s="2">
        <v>4866.0</v>
      </c>
      <c r="E22" s="71"/>
      <c r="F22" s="2">
        <v>3649.0</v>
      </c>
      <c r="G22" s="2">
        <v>2249.0</v>
      </c>
      <c r="H22" s="2">
        <v>2359.0</v>
      </c>
      <c r="I22" s="2">
        <v>212.0</v>
      </c>
      <c r="J22" s="2">
        <v>24.0</v>
      </c>
      <c r="K22" s="72">
        <v>1575.0</v>
      </c>
      <c r="L22" s="2">
        <v>971.0</v>
      </c>
      <c r="M22" s="2">
        <v>2643.0</v>
      </c>
      <c r="N22" s="2">
        <v>3439.0</v>
      </c>
      <c r="O22" s="2">
        <v>436.0</v>
      </c>
      <c r="P22" s="2">
        <v>2038.0</v>
      </c>
      <c r="Q22" s="2">
        <v>3803.0</v>
      </c>
      <c r="R22" s="2">
        <v>393.0</v>
      </c>
      <c r="S22" s="2">
        <v>560.0</v>
      </c>
      <c r="T22" s="2">
        <v>3942.0</v>
      </c>
      <c r="U22" s="2">
        <v>324.0</v>
      </c>
      <c r="V22" s="2">
        <v>71799.0</v>
      </c>
    </row>
    <row r="23">
      <c r="A23" s="2" t="s">
        <v>68</v>
      </c>
      <c r="B23" s="2">
        <v>17327.0</v>
      </c>
      <c r="C23" s="2">
        <v>168074.0</v>
      </c>
      <c r="D23" s="2">
        <v>23505.0</v>
      </c>
      <c r="E23" s="71">
        <v>104.0</v>
      </c>
      <c r="F23" s="2">
        <v>19767.0</v>
      </c>
      <c r="G23" s="2">
        <v>11244.0</v>
      </c>
      <c r="H23" s="2">
        <v>15455.0</v>
      </c>
      <c r="I23" s="2">
        <v>564.0</v>
      </c>
      <c r="J23" s="2">
        <v>316.0</v>
      </c>
      <c r="K23" s="72">
        <v>2475.0</v>
      </c>
      <c r="L23" s="2">
        <v>3117.0</v>
      </c>
      <c r="M23" s="2">
        <v>12500.0</v>
      </c>
      <c r="N23" s="2">
        <v>25478.0</v>
      </c>
      <c r="O23" s="2">
        <v>707.0</v>
      </c>
      <c r="P23" s="2">
        <v>8896.0</v>
      </c>
      <c r="Q23" s="2">
        <v>16751.0</v>
      </c>
      <c r="R23" s="2">
        <v>1667.0</v>
      </c>
      <c r="S23" s="2">
        <v>1555.0</v>
      </c>
      <c r="T23" s="2">
        <v>24049.0</v>
      </c>
      <c r="U23" s="2">
        <v>905.0</v>
      </c>
      <c r="V23" s="2">
        <v>354456.0</v>
      </c>
    </row>
    <row r="24">
      <c r="E24" s="82"/>
      <c r="K24" s="83"/>
    </row>
    <row r="25">
      <c r="A25" s="1" t="s">
        <v>161</v>
      </c>
      <c r="B25" s="3" t="s">
        <v>137</v>
      </c>
      <c r="C25" s="3" t="s">
        <v>138</v>
      </c>
      <c r="D25" s="84" t="s">
        <v>139</v>
      </c>
      <c r="E25" s="69" t="s">
        <v>140</v>
      </c>
      <c r="F25" s="3" t="s">
        <v>141</v>
      </c>
      <c r="G25" s="84" t="s">
        <v>142</v>
      </c>
      <c r="H25" s="3" t="s">
        <v>143</v>
      </c>
      <c r="I25" s="3" t="s">
        <v>144</v>
      </c>
      <c r="J25" s="3" t="s">
        <v>145</v>
      </c>
      <c r="K25" s="69" t="s">
        <v>146</v>
      </c>
      <c r="L25" s="3" t="s">
        <v>147</v>
      </c>
      <c r="M25" s="3" t="s">
        <v>148</v>
      </c>
      <c r="N25" s="84" t="s">
        <v>149</v>
      </c>
      <c r="O25" s="3" t="s">
        <v>150</v>
      </c>
      <c r="P25" s="3" t="s">
        <v>151</v>
      </c>
      <c r="Q25" s="84" t="s">
        <v>152</v>
      </c>
      <c r="R25" s="3" t="s">
        <v>153</v>
      </c>
      <c r="S25" s="3" t="s">
        <v>154</v>
      </c>
      <c r="T25" s="1" t="s">
        <v>155</v>
      </c>
      <c r="U25" s="3" t="s">
        <v>156</v>
      </c>
      <c r="V25" s="3" t="s">
        <v>68</v>
      </c>
    </row>
    <row r="26">
      <c r="A26" s="33" t="s">
        <v>57</v>
      </c>
      <c r="B26" s="33">
        <f t="shared" ref="B26:V26" si="7">B19/26</f>
        <v>206.1923077</v>
      </c>
      <c r="C26" s="33">
        <f t="shared" si="7"/>
        <v>2311.884615</v>
      </c>
      <c r="D26" s="33">
        <f t="shared" si="7"/>
        <v>210.3846154</v>
      </c>
      <c r="E26" s="85">
        <f t="shared" si="7"/>
        <v>1.769230769</v>
      </c>
      <c r="F26" s="33">
        <f t="shared" si="7"/>
        <v>256.4230769</v>
      </c>
      <c r="G26" s="33">
        <f t="shared" si="7"/>
        <v>113.6538462</v>
      </c>
      <c r="H26" s="33">
        <f t="shared" si="7"/>
        <v>202.8461538</v>
      </c>
      <c r="I26" s="33">
        <f t="shared" si="7"/>
        <v>8.307692308</v>
      </c>
      <c r="J26" s="33">
        <f t="shared" si="7"/>
        <v>10.61538462</v>
      </c>
      <c r="K26" s="86">
        <f t="shared" si="7"/>
        <v>1.923076923</v>
      </c>
      <c r="L26" s="33">
        <f t="shared" si="7"/>
        <v>39.34615385</v>
      </c>
      <c r="M26" s="33">
        <f t="shared" si="7"/>
        <v>154.1923077</v>
      </c>
      <c r="N26" s="33">
        <f t="shared" si="7"/>
        <v>276.3846154</v>
      </c>
      <c r="O26" s="33">
        <f t="shared" si="7"/>
        <v>8.115384615</v>
      </c>
      <c r="P26" s="33">
        <f t="shared" si="7"/>
        <v>139.3076923</v>
      </c>
      <c r="Q26" s="33">
        <f t="shared" si="7"/>
        <v>163.5384615</v>
      </c>
      <c r="R26" s="33">
        <f t="shared" si="7"/>
        <v>15.07692308</v>
      </c>
      <c r="S26" s="33">
        <f t="shared" si="7"/>
        <v>18.07692308</v>
      </c>
      <c r="T26" s="33">
        <f t="shared" si="7"/>
        <v>307.0769231</v>
      </c>
      <c r="U26" s="33">
        <f t="shared" si="7"/>
        <v>8.076923077</v>
      </c>
      <c r="V26" s="33">
        <f t="shared" si="7"/>
        <v>4453.192308</v>
      </c>
      <c r="W26" s="87"/>
      <c r="X26" s="87"/>
    </row>
    <row r="27">
      <c r="A27" s="33" t="s">
        <v>58</v>
      </c>
      <c r="B27" s="33">
        <f t="shared" ref="B27:V27" si="8">B20/4</f>
        <v>269.25</v>
      </c>
      <c r="C27" s="33">
        <f t="shared" si="8"/>
        <v>3750</v>
      </c>
      <c r="D27" s="33">
        <f t="shared" si="8"/>
        <v>458</v>
      </c>
      <c r="E27" s="85">
        <f t="shared" si="8"/>
        <v>0</v>
      </c>
      <c r="F27" s="33">
        <f t="shared" si="8"/>
        <v>313</v>
      </c>
      <c r="G27" s="33">
        <f t="shared" si="8"/>
        <v>339</v>
      </c>
      <c r="H27" s="33">
        <f t="shared" si="8"/>
        <v>227.75</v>
      </c>
      <c r="I27" s="33">
        <f t="shared" si="8"/>
        <v>8</v>
      </c>
      <c r="J27" s="33">
        <f t="shared" si="8"/>
        <v>1.5</v>
      </c>
      <c r="K27" s="86">
        <f t="shared" si="8"/>
        <v>0</v>
      </c>
      <c r="L27" s="33">
        <f t="shared" si="8"/>
        <v>29.5</v>
      </c>
      <c r="M27" s="33">
        <f t="shared" si="8"/>
        <v>350.5</v>
      </c>
      <c r="N27" s="33">
        <f t="shared" si="8"/>
        <v>538</v>
      </c>
      <c r="O27" s="33">
        <f t="shared" si="8"/>
        <v>8.25</v>
      </c>
      <c r="P27" s="33">
        <f t="shared" si="8"/>
        <v>100.25</v>
      </c>
      <c r="Q27" s="33">
        <f t="shared" si="8"/>
        <v>313.25</v>
      </c>
      <c r="R27" s="33">
        <f t="shared" si="8"/>
        <v>26</v>
      </c>
      <c r="S27" s="33">
        <f t="shared" si="8"/>
        <v>20.25</v>
      </c>
      <c r="T27" s="33">
        <f t="shared" si="8"/>
        <v>290</v>
      </c>
      <c r="U27" s="33">
        <f t="shared" si="8"/>
        <v>13</v>
      </c>
      <c r="V27" s="33">
        <f t="shared" si="8"/>
        <v>7201.75</v>
      </c>
      <c r="W27" s="87"/>
      <c r="X27" s="87"/>
    </row>
    <row r="28">
      <c r="A28" s="33" t="s">
        <v>46</v>
      </c>
      <c r="B28" s="33">
        <f t="shared" ref="B28:V28" si="9">B21/20</f>
        <v>327.9</v>
      </c>
      <c r="C28" s="33">
        <f t="shared" si="9"/>
        <v>2949</v>
      </c>
      <c r="D28" s="33">
        <f t="shared" si="9"/>
        <v>566.85</v>
      </c>
      <c r="E28" s="85">
        <f t="shared" si="9"/>
        <v>2.9</v>
      </c>
      <c r="F28" s="33">
        <f t="shared" si="9"/>
        <v>409.95</v>
      </c>
      <c r="G28" s="33">
        <f t="shared" si="9"/>
        <v>234.2</v>
      </c>
      <c r="H28" s="33">
        <f t="shared" si="9"/>
        <v>345.55</v>
      </c>
      <c r="I28" s="33">
        <f t="shared" si="9"/>
        <v>5.2</v>
      </c>
      <c r="J28" s="33">
        <f t="shared" si="9"/>
        <v>0.5</v>
      </c>
      <c r="K28" s="86">
        <f t="shared" si="9"/>
        <v>42.5</v>
      </c>
      <c r="L28" s="33">
        <f t="shared" si="9"/>
        <v>50.25</v>
      </c>
      <c r="M28" s="33">
        <f t="shared" si="9"/>
        <v>222.3</v>
      </c>
      <c r="N28" s="33">
        <f t="shared" si="9"/>
        <v>635.05</v>
      </c>
      <c r="O28" s="33">
        <f t="shared" si="9"/>
        <v>1.35</v>
      </c>
      <c r="P28" s="33">
        <f t="shared" si="9"/>
        <v>141.75</v>
      </c>
      <c r="Q28" s="33">
        <f t="shared" si="9"/>
        <v>372.15</v>
      </c>
      <c r="R28" s="33">
        <f t="shared" si="9"/>
        <v>38.9</v>
      </c>
      <c r="S28" s="33">
        <f t="shared" si="9"/>
        <v>22.2</v>
      </c>
      <c r="T28" s="33">
        <f t="shared" si="9"/>
        <v>518.9</v>
      </c>
      <c r="U28" s="33">
        <f t="shared" si="9"/>
        <v>15.95</v>
      </c>
      <c r="V28" s="33">
        <f t="shared" si="9"/>
        <v>6903.35</v>
      </c>
      <c r="W28" s="87"/>
      <c r="X28" s="87"/>
    </row>
    <row r="29">
      <c r="A29" s="33" t="s">
        <v>48</v>
      </c>
      <c r="B29" s="33">
        <f t="shared" ref="B29:V29" si="10">B22/34</f>
        <v>127.3823529</v>
      </c>
      <c r="C29" s="33">
        <f t="shared" si="10"/>
        <v>999.5588235</v>
      </c>
      <c r="D29" s="33">
        <f t="shared" si="10"/>
        <v>143.1176471</v>
      </c>
      <c r="E29" s="85">
        <f t="shared" si="10"/>
        <v>0</v>
      </c>
      <c r="F29" s="33">
        <f t="shared" si="10"/>
        <v>107.3235294</v>
      </c>
      <c r="G29" s="33">
        <f t="shared" si="10"/>
        <v>66.14705882</v>
      </c>
      <c r="H29" s="33">
        <f t="shared" si="10"/>
        <v>69.38235294</v>
      </c>
      <c r="I29" s="33">
        <f t="shared" si="10"/>
        <v>6.235294118</v>
      </c>
      <c r="J29" s="33">
        <f t="shared" si="10"/>
        <v>0.7058823529</v>
      </c>
      <c r="K29" s="86">
        <f t="shared" si="10"/>
        <v>46.32352941</v>
      </c>
      <c r="L29" s="33">
        <f t="shared" si="10"/>
        <v>28.55882353</v>
      </c>
      <c r="M29" s="33">
        <f t="shared" si="10"/>
        <v>77.73529412</v>
      </c>
      <c r="N29" s="33">
        <f t="shared" si="10"/>
        <v>101.1470588</v>
      </c>
      <c r="O29" s="33">
        <f t="shared" si="10"/>
        <v>12.82352941</v>
      </c>
      <c r="P29" s="33">
        <f t="shared" si="10"/>
        <v>59.94117647</v>
      </c>
      <c r="Q29" s="33">
        <f t="shared" si="10"/>
        <v>111.8529412</v>
      </c>
      <c r="R29" s="33">
        <f t="shared" si="10"/>
        <v>11.55882353</v>
      </c>
      <c r="S29" s="33">
        <f t="shared" si="10"/>
        <v>16.47058824</v>
      </c>
      <c r="T29" s="33">
        <f t="shared" si="10"/>
        <v>115.9411765</v>
      </c>
      <c r="U29" s="33">
        <f t="shared" si="10"/>
        <v>9.529411765</v>
      </c>
      <c r="V29" s="33">
        <f t="shared" si="10"/>
        <v>2111.735294</v>
      </c>
      <c r="W29" s="87"/>
      <c r="X29" s="87"/>
    </row>
    <row r="30">
      <c r="A30" s="33" t="s">
        <v>68</v>
      </c>
      <c r="B30" s="33">
        <f t="shared" ref="B30:V30" si="11">B23/SUM(26+4+20+34)</f>
        <v>206.2738095</v>
      </c>
      <c r="C30" s="33">
        <f t="shared" si="11"/>
        <v>2000.880952</v>
      </c>
      <c r="D30" s="33">
        <f t="shared" si="11"/>
        <v>279.8214286</v>
      </c>
      <c r="E30" s="85">
        <f t="shared" si="11"/>
        <v>1.238095238</v>
      </c>
      <c r="F30" s="33">
        <f t="shared" si="11"/>
        <v>235.3214286</v>
      </c>
      <c r="G30" s="33">
        <f t="shared" si="11"/>
        <v>133.8571429</v>
      </c>
      <c r="H30" s="33">
        <f t="shared" si="11"/>
        <v>183.9880952</v>
      </c>
      <c r="I30" s="33">
        <f t="shared" si="11"/>
        <v>6.714285714</v>
      </c>
      <c r="J30" s="33">
        <f t="shared" si="11"/>
        <v>3.761904762</v>
      </c>
      <c r="K30" s="86">
        <f t="shared" si="11"/>
        <v>29.46428571</v>
      </c>
      <c r="L30" s="33">
        <f t="shared" si="11"/>
        <v>37.10714286</v>
      </c>
      <c r="M30" s="33">
        <f t="shared" si="11"/>
        <v>148.8095238</v>
      </c>
      <c r="N30" s="33">
        <f t="shared" si="11"/>
        <v>303.3095238</v>
      </c>
      <c r="O30" s="33">
        <f t="shared" si="11"/>
        <v>8.416666667</v>
      </c>
      <c r="P30" s="33">
        <f t="shared" si="11"/>
        <v>105.9047619</v>
      </c>
      <c r="Q30" s="33">
        <f t="shared" si="11"/>
        <v>199.4166667</v>
      </c>
      <c r="R30" s="33">
        <f t="shared" si="11"/>
        <v>19.8452381</v>
      </c>
      <c r="S30" s="33">
        <f t="shared" si="11"/>
        <v>18.51190476</v>
      </c>
      <c r="T30" s="33">
        <f t="shared" si="11"/>
        <v>286.297619</v>
      </c>
      <c r="U30" s="33">
        <f t="shared" si="11"/>
        <v>10.77380952</v>
      </c>
      <c r="V30" s="33">
        <f t="shared" si="11"/>
        <v>4219.714286</v>
      </c>
      <c r="W30" s="87"/>
      <c r="X30" s="87"/>
    </row>
    <row r="31">
      <c r="A31" s="40"/>
      <c r="E31" s="82"/>
      <c r="K31" s="83"/>
    </row>
    <row r="32">
      <c r="A32" s="1" t="s">
        <v>162</v>
      </c>
      <c r="B32" s="3" t="s">
        <v>137</v>
      </c>
      <c r="C32" s="3" t="s">
        <v>138</v>
      </c>
      <c r="D32" s="3" t="s">
        <v>139</v>
      </c>
      <c r="E32" s="70" t="s">
        <v>140</v>
      </c>
      <c r="F32" s="3" t="s">
        <v>141</v>
      </c>
      <c r="G32" s="3" t="s">
        <v>142</v>
      </c>
      <c r="H32" s="3" t="s">
        <v>143</v>
      </c>
      <c r="I32" s="3" t="s">
        <v>144</v>
      </c>
      <c r="J32" s="3" t="s">
        <v>145</v>
      </c>
      <c r="K32" s="70" t="s">
        <v>146</v>
      </c>
      <c r="L32" s="3" t="s">
        <v>147</v>
      </c>
      <c r="M32" s="3" t="s">
        <v>148</v>
      </c>
      <c r="N32" s="3" t="s">
        <v>149</v>
      </c>
      <c r="O32" s="3" t="s">
        <v>150</v>
      </c>
      <c r="P32" s="3" t="s">
        <v>151</v>
      </c>
      <c r="Q32" s="3" t="s">
        <v>152</v>
      </c>
      <c r="R32" s="3" t="s">
        <v>153</v>
      </c>
      <c r="S32" s="3" t="s">
        <v>154</v>
      </c>
      <c r="T32" s="1" t="s">
        <v>155</v>
      </c>
      <c r="U32" s="3" t="s">
        <v>156</v>
      </c>
      <c r="V32" s="3"/>
    </row>
    <row r="33">
      <c r="A33" s="7" t="s">
        <v>158</v>
      </c>
      <c r="B33" s="79">
        <f t="shared" ref="B33:U33" si="12">B27/B26</f>
        <v>1.30581981</v>
      </c>
      <c r="C33" s="79">
        <f t="shared" si="12"/>
        <v>1.62205327</v>
      </c>
      <c r="D33" s="79">
        <f t="shared" si="12"/>
        <v>2.176965265</v>
      </c>
      <c r="E33" s="81">
        <f t="shared" si="12"/>
        <v>0</v>
      </c>
      <c r="F33" s="79">
        <f t="shared" si="12"/>
        <v>1.220638968</v>
      </c>
      <c r="G33" s="79">
        <f t="shared" si="12"/>
        <v>2.982741117</v>
      </c>
      <c r="H33" s="78">
        <f t="shared" si="12"/>
        <v>1.122772089</v>
      </c>
      <c r="I33" s="78">
        <f t="shared" si="12"/>
        <v>0.962962963</v>
      </c>
      <c r="J33" s="77">
        <f t="shared" si="12"/>
        <v>0.1413043478</v>
      </c>
      <c r="K33" s="80">
        <f t="shared" si="12"/>
        <v>0</v>
      </c>
      <c r="L33" s="77">
        <f t="shared" si="12"/>
        <v>0.7497556207</v>
      </c>
      <c r="M33" s="79">
        <f t="shared" si="12"/>
        <v>2.273135445</v>
      </c>
      <c r="N33" s="79">
        <f t="shared" si="12"/>
        <v>1.946562761</v>
      </c>
      <c r="O33" s="78">
        <f t="shared" si="12"/>
        <v>1.016587678</v>
      </c>
      <c r="P33" s="77">
        <f t="shared" si="12"/>
        <v>0.7196300387</v>
      </c>
      <c r="Q33" s="79">
        <f t="shared" si="12"/>
        <v>1.915451552</v>
      </c>
      <c r="R33" s="79">
        <f t="shared" si="12"/>
        <v>1.724489796</v>
      </c>
      <c r="S33" s="78">
        <f t="shared" si="12"/>
        <v>1.120212766</v>
      </c>
      <c r="T33" s="78">
        <f t="shared" si="12"/>
        <v>0.9443887776</v>
      </c>
      <c r="U33" s="79">
        <f t="shared" si="12"/>
        <v>1.60952381</v>
      </c>
      <c r="V33" s="78"/>
      <c r="W33" s="2"/>
      <c r="X33" s="2"/>
    </row>
    <row r="34">
      <c r="A34" s="7" t="s">
        <v>159</v>
      </c>
      <c r="B34" s="79">
        <f t="shared" ref="B34:U34" si="13">B28/B26</f>
        <v>1.590263011</v>
      </c>
      <c r="C34" s="79">
        <f t="shared" si="13"/>
        <v>1.275582691</v>
      </c>
      <c r="D34" s="79">
        <f t="shared" si="13"/>
        <v>2.694351005</v>
      </c>
      <c r="E34" s="81">
        <f t="shared" si="13"/>
        <v>1.639130435</v>
      </c>
      <c r="F34" s="79">
        <f t="shared" si="13"/>
        <v>1.598725064</v>
      </c>
      <c r="G34" s="79">
        <f t="shared" si="13"/>
        <v>2.060642978</v>
      </c>
      <c r="H34" s="79">
        <f t="shared" si="13"/>
        <v>1.703507774</v>
      </c>
      <c r="I34" s="77">
        <f t="shared" si="13"/>
        <v>0.6259259259</v>
      </c>
      <c r="J34" s="77">
        <f t="shared" si="13"/>
        <v>0.04710144928</v>
      </c>
      <c r="K34" s="80">
        <f t="shared" si="13"/>
        <v>22.1</v>
      </c>
      <c r="L34" s="79">
        <f t="shared" si="13"/>
        <v>1.2771261</v>
      </c>
      <c r="M34" s="79">
        <f t="shared" si="13"/>
        <v>1.441706161</v>
      </c>
      <c r="N34" s="79">
        <f t="shared" si="13"/>
        <v>2.297703869</v>
      </c>
      <c r="O34" s="77">
        <f t="shared" si="13"/>
        <v>0.1663507109</v>
      </c>
      <c r="P34" s="78">
        <f t="shared" si="13"/>
        <v>1.01753175</v>
      </c>
      <c r="Q34" s="79">
        <f t="shared" si="13"/>
        <v>2.275611477</v>
      </c>
      <c r="R34" s="79">
        <f t="shared" si="13"/>
        <v>2.580102041</v>
      </c>
      <c r="S34" s="79">
        <f t="shared" si="13"/>
        <v>1.228085106</v>
      </c>
      <c r="T34" s="79">
        <f t="shared" si="13"/>
        <v>1.689804609</v>
      </c>
      <c r="U34" s="79">
        <f t="shared" si="13"/>
        <v>1.974761905</v>
      </c>
      <c r="V34" s="78"/>
      <c r="W34" s="2"/>
      <c r="X34" s="2"/>
    </row>
    <row r="35">
      <c r="A35" s="33"/>
      <c r="B35" s="33"/>
      <c r="C35" s="33">
        <f t="shared" ref="C35:D35" si="14">C27-C26</f>
        <v>1438.115385</v>
      </c>
      <c r="D35" s="33">
        <f t="shared" si="14"/>
        <v>247.6153846</v>
      </c>
      <c r="E35" s="86"/>
      <c r="F35" s="33"/>
      <c r="G35" s="33">
        <f>G27-G26</f>
        <v>225.3461538</v>
      </c>
      <c r="H35" s="33"/>
      <c r="I35" s="33"/>
      <c r="J35" s="33"/>
      <c r="K35" s="85"/>
      <c r="L35" s="33"/>
      <c r="M35" s="33">
        <f>M27-M26</f>
        <v>196.3076923</v>
      </c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>
      <c r="E36" s="82"/>
      <c r="K36" s="83"/>
    </row>
    <row r="37">
      <c r="A37" s="21" t="s">
        <v>163</v>
      </c>
      <c r="E37" s="82"/>
      <c r="K37" s="83"/>
    </row>
    <row r="38">
      <c r="E38" s="82"/>
      <c r="K38" s="83"/>
    </row>
    <row r="39">
      <c r="E39" s="82"/>
      <c r="K39" s="83"/>
    </row>
    <row r="40">
      <c r="E40" s="82"/>
      <c r="K40" s="83"/>
    </row>
    <row r="41">
      <c r="E41" s="82"/>
      <c r="K41" s="83"/>
    </row>
    <row r="42">
      <c r="E42" s="82"/>
      <c r="K42" s="83"/>
    </row>
    <row r="43">
      <c r="E43" s="82"/>
      <c r="K43" s="83"/>
    </row>
    <row r="44">
      <c r="E44" s="82"/>
      <c r="K44" s="83"/>
    </row>
    <row r="45">
      <c r="E45" s="82"/>
      <c r="K45" s="83"/>
    </row>
    <row r="46">
      <c r="E46" s="82"/>
      <c r="K46" s="83"/>
    </row>
    <row r="47">
      <c r="E47" s="82"/>
      <c r="K47" s="83"/>
    </row>
    <row r="48">
      <c r="E48" s="82"/>
      <c r="K48" s="83"/>
    </row>
    <row r="49">
      <c r="E49" s="82"/>
      <c r="K49" s="83"/>
    </row>
    <row r="50">
      <c r="E50" s="82"/>
      <c r="K50" s="83"/>
    </row>
    <row r="51">
      <c r="E51" s="82"/>
      <c r="K51" s="83"/>
    </row>
    <row r="52">
      <c r="E52" s="82"/>
      <c r="K52" s="83"/>
    </row>
    <row r="53">
      <c r="E53" s="82"/>
      <c r="K53" s="83"/>
    </row>
    <row r="54">
      <c r="E54" s="82"/>
      <c r="K54" s="83"/>
    </row>
    <row r="55">
      <c r="E55" s="82"/>
      <c r="K55" s="83"/>
    </row>
    <row r="56">
      <c r="E56" s="82"/>
      <c r="K56" s="83"/>
    </row>
    <row r="57">
      <c r="E57" s="82"/>
      <c r="K57" s="83"/>
    </row>
    <row r="58">
      <c r="E58" s="82"/>
      <c r="K58" s="83"/>
    </row>
    <row r="59">
      <c r="E59" s="82"/>
      <c r="K59" s="83"/>
    </row>
    <row r="60">
      <c r="E60" s="82"/>
      <c r="K60" s="83"/>
    </row>
    <row r="61">
      <c r="E61" s="82"/>
      <c r="K61" s="83"/>
    </row>
    <row r="62">
      <c r="E62" s="82"/>
      <c r="K62" s="83"/>
    </row>
    <row r="63">
      <c r="E63" s="82"/>
      <c r="K63" s="83"/>
    </row>
    <row r="64">
      <c r="E64" s="82"/>
      <c r="K64" s="83"/>
    </row>
    <row r="65">
      <c r="E65" s="82"/>
      <c r="K65" s="83"/>
    </row>
    <row r="66">
      <c r="E66" s="82"/>
      <c r="K66" s="83"/>
    </row>
    <row r="67">
      <c r="E67" s="82"/>
      <c r="K67" s="83"/>
    </row>
    <row r="68">
      <c r="E68" s="82"/>
      <c r="K68" s="83"/>
    </row>
    <row r="69">
      <c r="E69" s="82"/>
      <c r="K69" s="83"/>
    </row>
    <row r="70">
      <c r="E70" s="82"/>
      <c r="K70" s="83"/>
    </row>
    <row r="71">
      <c r="E71" s="82"/>
      <c r="K71" s="83"/>
    </row>
    <row r="72">
      <c r="E72" s="82"/>
      <c r="K72" s="83"/>
    </row>
    <row r="73">
      <c r="E73" s="82"/>
      <c r="K73" s="83"/>
    </row>
    <row r="74">
      <c r="E74" s="82"/>
      <c r="K74" s="83"/>
    </row>
    <row r="75">
      <c r="E75" s="82"/>
      <c r="K75" s="83"/>
    </row>
    <row r="76">
      <c r="E76" s="82"/>
      <c r="K76" s="83"/>
    </row>
    <row r="77">
      <c r="E77" s="82"/>
      <c r="K77" s="83"/>
    </row>
    <row r="78">
      <c r="E78" s="82"/>
      <c r="K78" s="83"/>
    </row>
    <row r="79">
      <c r="E79" s="82"/>
      <c r="K79" s="83"/>
    </row>
    <row r="80">
      <c r="E80" s="82"/>
      <c r="K80" s="83"/>
    </row>
    <row r="81">
      <c r="E81" s="82"/>
      <c r="K81" s="83"/>
    </row>
    <row r="82">
      <c r="E82" s="82"/>
      <c r="K82" s="83"/>
    </row>
    <row r="83">
      <c r="E83" s="82"/>
      <c r="K83" s="83"/>
    </row>
    <row r="84">
      <c r="E84" s="82"/>
      <c r="K84" s="83"/>
    </row>
    <row r="85">
      <c r="E85" s="82"/>
      <c r="K85" s="83"/>
    </row>
    <row r="86">
      <c r="E86" s="82"/>
      <c r="K86" s="83"/>
    </row>
    <row r="87">
      <c r="E87" s="82"/>
      <c r="K87" s="83"/>
    </row>
    <row r="88">
      <c r="E88" s="82"/>
      <c r="K88" s="83"/>
    </row>
    <row r="89">
      <c r="E89" s="82"/>
      <c r="K89" s="83"/>
    </row>
    <row r="90">
      <c r="E90" s="82"/>
      <c r="K90" s="83"/>
    </row>
    <row r="91">
      <c r="E91" s="82"/>
      <c r="K91" s="83"/>
    </row>
    <row r="92">
      <c r="E92" s="82"/>
      <c r="K92" s="83"/>
    </row>
    <row r="93">
      <c r="E93" s="82"/>
      <c r="K93" s="83"/>
    </row>
    <row r="94">
      <c r="E94" s="82"/>
      <c r="K94" s="83"/>
    </row>
    <row r="95">
      <c r="E95" s="82"/>
      <c r="K95" s="83"/>
    </row>
    <row r="96">
      <c r="E96" s="82"/>
      <c r="K96" s="83"/>
    </row>
    <row r="97">
      <c r="E97" s="82"/>
      <c r="K97" s="83"/>
    </row>
    <row r="98">
      <c r="E98" s="82"/>
      <c r="K98" s="83"/>
    </row>
    <row r="99">
      <c r="E99" s="82"/>
      <c r="K99" s="83"/>
    </row>
    <row r="100">
      <c r="E100" s="82"/>
      <c r="K100" s="83"/>
    </row>
    <row r="101">
      <c r="E101" s="82"/>
      <c r="K101" s="83"/>
    </row>
    <row r="102">
      <c r="E102" s="82"/>
      <c r="K102" s="83"/>
    </row>
    <row r="103">
      <c r="E103" s="82"/>
      <c r="K103" s="83"/>
    </row>
    <row r="104">
      <c r="E104" s="82"/>
      <c r="K104" s="83"/>
    </row>
    <row r="105">
      <c r="E105" s="82"/>
      <c r="K105" s="83"/>
    </row>
    <row r="106">
      <c r="E106" s="82"/>
      <c r="K106" s="83"/>
    </row>
    <row r="107">
      <c r="E107" s="82"/>
      <c r="K107" s="83"/>
    </row>
    <row r="108">
      <c r="E108" s="82"/>
      <c r="K108" s="83"/>
    </row>
    <row r="109">
      <c r="E109" s="82"/>
      <c r="K109" s="83"/>
    </row>
    <row r="110">
      <c r="E110" s="82"/>
      <c r="K110" s="83"/>
    </row>
    <row r="111">
      <c r="E111" s="82"/>
      <c r="K111" s="83"/>
    </row>
    <row r="112">
      <c r="E112" s="82"/>
      <c r="K112" s="83"/>
    </row>
    <row r="113">
      <c r="E113" s="82"/>
      <c r="K113" s="83"/>
    </row>
    <row r="114">
      <c r="E114" s="82"/>
      <c r="K114" s="83"/>
    </row>
    <row r="115">
      <c r="E115" s="82"/>
      <c r="K115" s="83"/>
    </row>
    <row r="116">
      <c r="E116" s="82"/>
      <c r="K116" s="83"/>
    </row>
    <row r="117">
      <c r="E117" s="82"/>
      <c r="K117" s="83"/>
    </row>
    <row r="118">
      <c r="E118" s="82"/>
      <c r="K118" s="83"/>
    </row>
    <row r="119">
      <c r="E119" s="82"/>
      <c r="K119" s="83"/>
    </row>
    <row r="120">
      <c r="E120" s="82"/>
      <c r="K120" s="83"/>
    </row>
    <row r="121">
      <c r="E121" s="82"/>
      <c r="K121" s="83"/>
    </row>
    <row r="122">
      <c r="E122" s="82"/>
      <c r="K122" s="83"/>
    </row>
    <row r="123">
      <c r="E123" s="82"/>
      <c r="K123" s="83"/>
    </row>
    <row r="124">
      <c r="E124" s="82"/>
      <c r="K124" s="83"/>
    </row>
    <row r="125">
      <c r="E125" s="82"/>
      <c r="K125" s="83"/>
    </row>
    <row r="126">
      <c r="E126" s="82"/>
      <c r="K126" s="83"/>
    </row>
    <row r="127">
      <c r="E127" s="82"/>
      <c r="K127" s="83"/>
    </row>
    <row r="128">
      <c r="E128" s="82"/>
      <c r="K128" s="83"/>
    </row>
    <row r="129">
      <c r="E129" s="82"/>
      <c r="K129" s="83"/>
    </row>
    <row r="130">
      <c r="E130" s="82"/>
      <c r="K130" s="83"/>
    </row>
    <row r="131">
      <c r="E131" s="82"/>
      <c r="K131" s="83"/>
    </row>
    <row r="132">
      <c r="E132" s="82"/>
      <c r="K132" s="83"/>
    </row>
    <row r="133">
      <c r="E133" s="82"/>
      <c r="K133" s="83"/>
    </row>
    <row r="134">
      <c r="E134" s="82"/>
      <c r="K134" s="83"/>
    </row>
    <row r="135">
      <c r="E135" s="82"/>
      <c r="K135" s="83"/>
    </row>
    <row r="136">
      <c r="E136" s="82"/>
      <c r="K136" s="83"/>
    </row>
    <row r="137">
      <c r="E137" s="82"/>
      <c r="K137" s="83"/>
    </row>
    <row r="138">
      <c r="E138" s="82"/>
      <c r="K138" s="83"/>
    </row>
    <row r="139">
      <c r="E139" s="82"/>
      <c r="K139" s="83"/>
    </row>
    <row r="140">
      <c r="E140" s="82"/>
      <c r="K140" s="83"/>
    </row>
    <row r="141">
      <c r="E141" s="82"/>
      <c r="K141" s="83"/>
    </row>
    <row r="142">
      <c r="E142" s="82"/>
      <c r="K142" s="83"/>
    </row>
    <row r="143">
      <c r="E143" s="82"/>
      <c r="K143" s="83"/>
    </row>
    <row r="144">
      <c r="E144" s="82"/>
      <c r="K144" s="83"/>
    </row>
    <row r="145">
      <c r="E145" s="82"/>
      <c r="K145" s="83"/>
    </row>
    <row r="146">
      <c r="E146" s="82"/>
      <c r="K146" s="83"/>
    </row>
    <row r="147">
      <c r="E147" s="82"/>
      <c r="K147" s="83"/>
    </row>
    <row r="148">
      <c r="E148" s="82"/>
      <c r="K148" s="83"/>
    </row>
    <row r="149">
      <c r="E149" s="82"/>
      <c r="K149" s="83"/>
    </row>
    <row r="150">
      <c r="E150" s="82"/>
      <c r="K150" s="83"/>
    </row>
    <row r="151">
      <c r="E151" s="82"/>
      <c r="K151" s="83"/>
    </row>
    <row r="152">
      <c r="E152" s="82"/>
      <c r="K152" s="83"/>
    </row>
    <row r="153">
      <c r="E153" s="82"/>
      <c r="K153" s="83"/>
    </row>
    <row r="154">
      <c r="E154" s="82"/>
      <c r="K154" s="83"/>
    </row>
    <row r="155">
      <c r="E155" s="82"/>
      <c r="K155" s="83"/>
    </row>
    <row r="156">
      <c r="E156" s="82"/>
      <c r="K156" s="83"/>
    </row>
    <row r="157">
      <c r="E157" s="82"/>
      <c r="K157" s="83"/>
    </row>
    <row r="158">
      <c r="E158" s="82"/>
      <c r="K158" s="83"/>
    </row>
    <row r="159">
      <c r="E159" s="82"/>
      <c r="K159" s="83"/>
    </row>
    <row r="160">
      <c r="E160" s="82"/>
      <c r="K160" s="83"/>
    </row>
    <row r="161">
      <c r="E161" s="82"/>
      <c r="K161" s="83"/>
    </row>
    <row r="162">
      <c r="E162" s="82"/>
      <c r="K162" s="83"/>
    </row>
    <row r="163">
      <c r="E163" s="82"/>
      <c r="K163" s="83"/>
    </row>
    <row r="164">
      <c r="E164" s="82"/>
      <c r="K164" s="83"/>
    </row>
    <row r="165">
      <c r="E165" s="82"/>
      <c r="K165" s="83"/>
    </row>
    <row r="166">
      <c r="E166" s="82"/>
      <c r="K166" s="83"/>
    </row>
    <row r="167">
      <c r="E167" s="82"/>
      <c r="K167" s="83"/>
    </row>
    <row r="168">
      <c r="E168" s="82"/>
      <c r="K168" s="83"/>
    </row>
    <row r="169">
      <c r="E169" s="82"/>
      <c r="K169" s="83"/>
    </row>
    <row r="170">
      <c r="E170" s="82"/>
      <c r="K170" s="83"/>
    </row>
    <row r="171">
      <c r="E171" s="82"/>
      <c r="K171" s="83"/>
    </row>
    <row r="172">
      <c r="E172" s="82"/>
      <c r="K172" s="83"/>
    </row>
    <row r="173">
      <c r="E173" s="82"/>
      <c r="K173" s="83"/>
    </row>
    <row r="174">
      <c r="E174" s="82"/>
      <c r="K174" s="83"/>
    </row>
    <row r="175">
      <c r="E175" s="82"/>
      <c r="K175" s="83"/>
    </row>
    <row r="176">
      <c r="E176" s="82"/>
      <c r="K176" s="83"/>
    </row>
    <row r="177">
      <c r="E177" s="82"/>
      <c r="K177" s="83"/>
    </row>
    <row r="178">
      <c r="E178" s="82"/>
      <c r="K178" s="83"/>
    </row>
    <row r="179">
      <c r="E179" s="82"/>
      <c r="K179" s="83"/>
    </row>
    <row r="180">
      <c r="E180" s="82"/>
      <c r="K180" s="83"/>
    </row>
    <row r="181">
      <c r="E181" s="82"/>
      <c r="K181" s="83"/>
    </row>
    <row r="182">
      <c r="E182" s="82"/>
      <c r="K182" s="83"/>
    </row>
    <row r="183">
      <c r="E183" s="82"/>
      <c r="K183" s="83"/>
    </row>
    <row r="184">
      <c r="E184" s="82"/>
      <c r="K184" s="83"/>
    </row>
    <row r="185">
      <c r="E185" s="82"/>
      <c r="K185" s="83"/>
    </row>
    <row r="186">
      <c r="E186" s="82"/>
      <c r="K186" s="83"/>
    </row>
    <row r="187">
      <c r="E187" s="82"/>
      <c r="K187" s="83"/>
    </row>
    <row r="188">
      <c r="E188" s="82"/>
      <c r="K188" s="83"/>
    </row>
    <row r="189">
      <c r="E189" s="82"/>
      <c r="K189" s="83"/>
    </row>
    <row r="190">
      <c r="E190" s="82"/>
      <c r="K190" s="83"/>
    </row>
    <row r="191">
      <c r="E191" s="82"/>
      <c r="K191" s="83"/>
    </row>
    <row r="192">
      <c r="E192" s="82"/>
      <c r="K192" s="83"/>
    </row>
    <row r="193">
      <c r="E193" s="82"/>
      <c r="K193" s="83"/>
    </row>
    <row r="194">
      <c r="E194" s="82"/>
      <c r="K194" s="83"/>
    </row>
    <row r="195">
      <c r="E195" s="82"/>
      <c r="K195" s="83"/>
    </row>
    <row r="196">
      <c r="E196" s="82"/>
      <c r="K196" s="83"/>
    </row>
    <row r="197">
      <c r="E197" s="82"/>
      <c r="K197" s="83"/>
    </row>
    <row r="198">
      <c r="E198" s="82"/>
      <c r="K198" s="83"/>
    </row>
    <row r="199">
      <c r="E199" s="82"/>
      <c r="K199" s="83"/>
    </row>
    <row r="200">
      <c r="E200" s="82"/>
      <c r="K200" s="83"/>
    </row>
    <row r="201">
      <c r="E201" s="82"/>
      <c r="K201" s="83"/>
    </row>
    <row r="202">
      <c r="E202" s="82"/>
      <c r="K202" s="83"/>
    </row>
    <row r="203">
      <c r="E203" s="82"/>
      <c r="K203" s="83"/>
    </row>
    <row r="204">
      <c r="E204" s="82"/>
      <c r="K204" s="83"/>
    </row>
    <row r="205">
      <c r="E205" s="82"/>
      <c r="K205" s="83"/>
    </row>
    <row r="206">
      <c r="E206" s="82"/>
      <c r="K206" s="83"/>
    </row>
    <row r="207">
      <c r="E207" s="82"/>
      <c r="K207" s="83"/>
    </row>
    <row r="208">
      <c r="E208" s="82"/>
      <c r="K208" s="83"/>
    </row>
    <row r="209">
      <c r="E209" s="82"/>
      <c r="K209" s="83"/>
    </row>
    <row r="210">
      <c r="E210" s="82"/>
      <c r="K210" s="83"/>
    </row>
    <row r="211">
      <c r="E211" s="82"/>
      <c r="K211" s="83"/>
    </row>
    <row r="212">
      <c r="E212" s="82"/>
      <c r="K212" s="83"/>
    </row>
    <row r="213">
      <c r="E213" s="82"/>
      <c r="K213" s="83"/>
    </row>
    <row r="214">
      <c r="E214" s="82"/>
      <c r="K214" s="83"/>
    </row>
    <row r="215">
      <c r="E215" s="82"/>
      <c r="K215" s="83"/>
    </row>
    <row r="216">
      <c r="E216" s="82"/>
      <c r="K216" s="83"/>
    </row>
    <row r="217">
      <c r="E217" s="82"/>
      <c r="K217" s="83"/>
    </row>
    <row r="218">
      <c r="E218" s="82"/>
      <c r="K218" s="83"/>
    </row>
    <row r="219">
      <c r="E219" s="82"/>
      <c r="K219" s="83"/>
    </row>
    <row r="220">
      <c r="E220" s="82"/>
      <c r="K220" s="83"/>
    </row>
    <row r="221">
      <c r="E221" s="82"/>
      <c r="K221" s="83"/>
    </row>
    <row r="222">
      <c r="E222" s="82"/>
      <c r="K222" s="83"/>
    </row>
    <row r="223">
      <c r="E223" s="82"/>
      <c r="K223" s="83"/>
    </row>
    <row r="224">
      <c r="E224" s="82"/>
      <c r="K224" s="83"/>
    </row>
    <row r="225">
      <c r="E225" s="82"/>
      <c r="K225" s="83"/>
    </row>
    <row r="226">
      <c r="E226" s="82"/>
      <c r="K226" s="83"/>
    </row>
    <row r="227">
      <c r="E227" s="82"/>
      <c r="K227" s="83"/>
    </row>
    <row r="228">
      <c r="E228" s="82"/>
      <c r="K228" s="83"/>
    </row>
    <row r="229">
      <c r="E229" s="82"/>
      <c r="K229" s="83"/>
    </row>
    <row r="230">
      <c r="E230" s="82"/>
      <c r="K230" s="83"/>
    </row>
    <row r="231">
      <c r="E231" s="82"/>
      <c r="K231" s="83"/>
    </row>
    <row r="232">
      <c r="E232" s="82"/>
      <c r="K232" s="83"/>
    </row>
    <row r="233">
      <c r="E233" s="82"/>
      <c r="K233" s="83"/>
    </row>
    <row r="234">
      <c r="E234" s="82"/>
      <c r="K234" s="83"/>
    </row>
    <row r="235">
      <c r="E235" s="82"/>
      <c r="K235" s="83"/>
    </row>
    <row r="236">
      <c r="E236" s="82"/>
      <c r="K236" s="83"/>
    </row>
    <row r="237">
      <c r="E237" s="82"/>
      <c r="K237" s="83"/>
    </row>
    <row r="238">
      <c r="E238" s="82"/>
      <c r="K238" s="83"/>
    </row>
    <row r="239">
      <c r="E239" s="82"/>
      <c r="K239" s="83"/>
    </row>
    <row r="240">
      <c r="E240" s="82"/>
      <c r="K240" s="83"/>
    </row>
    <row r="241">
      <c r="E241" s="82"/>
      <c r="K241" s="83"/>
    </row>
    <row r="242">
      <c r="E242" s="82"/>
      <c r="K242" s="83"/>
    </row>
    <row r="243">
      <c r="E243" s="82"/>
      <c r="K243" s="83"/>
    </row>
    <row r="244">
      <c r="E244" s="82"/>
      <c r="K244" s="83"/>
    </row>
    <row r="245">
      <c r="E245" s="82"/>
      <c r="K245" s="83"/>
    </row>
    <row r="246">
      <c r="E246" s="82"/>
      <c r="K246" s="83"/>
    </row>
    <row r="247">
      <c r="E247" s="82"/>
      <c r="K247" s="83"/>
    </row>
    <row r="248">
      <c r="E248" s="82"/>
      <c r="K248" s="83"/>
    </row>
    <row r="249">
      <c r="E249" s="82"/>
      <c r="K249" s="83"/>
    </row>
    <row r="250">
      <c r="E250" s="82"/>
      <c r="K250" s="83"/>
    </row>
    <row r="251">
      <c r="E251" s="82"/>
      <c r="K251" s="83"/>
    </row>
    <row r="252">
      <c r="E252" s="82"/>
      <c r="K252" s="83"/>
    </row>
    <row r="253">
      <c r="E253" s="82"/>
      <c r="K253" s="83"/>
    </row>
    <row r="254">
      <c r="E254" s="82"/>
      <c r="K254" s="83"/>
    </row>
    <row r="255">
      <c r="E255" s="82"/>
      <c r="K255" s="83"/>
    </row>
    <row r="256">
      <c r="E256" s="82"/>
      <c r="K256" s="83"/>
    </row>
    <row r="257">
      <c r="E257" s="82"/>
      <c r="K257" s="83"/>
    </row>
    <row r="258">
      <c r="E258" s="82"/>
      <c r="K258" s="83"/>
    </row>
    <row r="259">
      <c r="E259" s="82"/>
      <c r="K259" s="83"/>
    </row>
    <row r="260">
      <c r="E260" s="82"/>
      <c r="K260" s="83"/>
    </row>
    <row r="261">
      <c r="E261" s="82"/>
      <c r="K261" s="83"/>
    </row>
    <row r="262">
      <c r="E262" s="82"/>
      <c r="K262" s="83"/>
    </row>
    <row r="263">
      <c r="E263" s="82"/>
      <c r="K263" s="83"/>
    </row>
    <row r="264">
      <c r="E264" s="82"/>
      <c r="K264" s="83"/>
    </row>
    <row r="265">
      <c r="E265" s="82"/>
      <c r="K265" s="83"/>
    </row>
    <row r="266">
      <c r="E266" s="82"/>
      <c r="K266" s="83"/>
    </row>
    <row r="267">
      <c r="E267" s="82"/>
      <c r="K267" s="83"/>
    </row>
    <row r="268">
      <c r="E268" s="82"/>
      <c r="K268" s="83"/>
    </row>
    <row r="269">
      <c r="E269" s="82"/>
      <c r="K269" s="83"/>
    </row>
    <row r="270">
      <c r="E270" s="82"/>
      <c r="K270" s="83"/>
    </row>
    <row r="271">
      <c r="E271" s="82"/>
      <c r="K271" s="83"/>
    </row>
    <row r="272">
      <c r="E272" s="82"/>
      <c r="K272" s="83"/>
    </row>
    <row r="273">
      <c r="E273" s="82"/>
      <c r="K273" s="83"/>
    </row>
    <row r="274">
      <c r="E274" s="82"/>
      <c r="K274" s="83"/>
    </row>
    <row r="275">
      <c r="E275" s="82"/>
      <c r="K275" s="83"/>
    </row>
    <row r="276">
      <c r="E276" s="82"/>
      <c r="K276" s="83"/>
    </row>
    <row r="277">
      <c r="E277" s="82"/>
      <c r="K277" s="83"/>
    </row>
    <row r="278">
      <c r="E278" s="82"/>
      <c r="K278" s="83"/>
    </row>
    <row r="279">
      <c r="E279" s="82"/>
      <c r="K279" s="83"/>
    </row>
    <row r="280">
      <c r="E280" s="82"/>
      <c r="K280" s="83"/>
    </row>
    <row r="281">
      <c r="E281" s="82"/>
      <c r="K281" s="83"/>
    </row>
    <row r="282">
      <c r="E282" s="82"/>
      <c r="K282" s="83"/>
    </row>
    <row r="283">
      <c r="E283" s="82"/>
      <c r="K283" s="83"/>
    </row>
    <row r="284">
      <c r="E284" s="82"/>
      <c r="K284" s="83"/>
    </row>
    <row r="285">
      <c r="E285" s="82"/>
      <c r="K285" s="83"/>
    </row>
    <row r="286">
      <c r="E286" s="82"/>
      <c r="K286" s="83"/>
    </row>
    <row r="287">
      <c r="E287" s="82"/>
      <c r="K287" s="83"/>
    </row>
    <row r="288">
      <c r="E288" s="82"/>
      <c r="K288" s="83"/>
    </row>
    <row r="289">
      <c r="E289" s="82"/>
      <c r="K289" s="83"/>
    </row>
    <row r="290">
      <c r="E290" s="82"/>
      <c r="K290" s="83"/>
    </row>
    <row r="291">
      <c r="E291" s="82"/>
      <c r="K291" s="83"/>
    </row>
    <row r="292">
      <c r="E292" s="82"/>
      <c r="K292" s="83"/>
    </row>
    <row r="293">
      <c r="E293" s="82"/>
      <c r="K293" s="83"/>
    </row>
    <row r="294">
      <c r="E294" s="82"/>
      <c r="K294" s="83"/>
    </row>
    <row r="295">
      <c r="E295" s="82"/>
      <c r="K295" s="83"/>
    </row>
    <row r="296">
      <c r="E296" s="82"/>
      <c r="K296" s="83"/>
    </row>
    <row r="297">
      <c r="E297" s="82"/>
      <c r="K297" s="83"/>
    </row>
    <row r="298">
      <c r="E298" s="82"/>
      <c r="K298" s="83"/>
    </row>
    <row r="299">
      <c r="E299" s="82"/>
      <c r="K299" s="83"/>
    </row>
    <row r="300">
      <c r="E300" s="82"/>
      <c r="K300" s="83"/>
    </row>
    <row r="301">
      <c r="E301" s="82"/>
      <c r="K301" s="83"/>
    </row>
    <row r="302">
      <c r="E302" s="82"/>
      <c r="K302" s="83"/>
    </row>
    <row r="303">
      <c r="E303" s="82"/>
      <c r="K303" s="83"/>
    </row>
    <row r="304">
      <c r="E304" s="82"/>
      <c r="K304" s="83"/>
    </row>
    <row r="305">
      <c r="E305" s="82"/>
      <c r="K305" s="83"/>
    </row>
    <row r="306">
      <c r="E306" s="82"/>
      <c r="K306" s="83"/>
    </row>
    <row r="307">
      <c r="E307" s="82"/>
      <c r="K307" s="83"/>
    </row>
    <row r="308">
      <c r="E308" s="82"/>
      <c r="K308" s="83"/>
    </row>
    <row r="309">
      <c r="E309" s="82"/>
      <c r="K309" s="83"/>
    </row>
    <row r="310">
      <c r="E310" s="82"/>
      <c r="K310" s="83"/>
    </row>
    <row r="311">
      <c r="E311" s="82"/>
      <c r="K311" s="83"/>
    </row>
    <row r="312">
      <c r="E312" s="82"/>
      <c r="K312" s="83"/>
    </row>
    <row r="313">
      <c r="E313" s="82"/>
      <c r="K313" s="83"/>
    </row>
    <row r="314">
      <c r="E314" s="82"/>
      <c r="K314" s="83"/>
    </row>
    <row r="315">
      <c r="E315" s="82"/>
      <c r="K315" s="83"/>
    </row>
    <row r="316">
      <c r="E316" s="82"/>
      <c r="K316" s="83"/>
    </row>
    <row r="317">
      <c r="E317" s="82"/>
      <c r="K317" s="83"/>
    </row>
    <row r="318">
      <c r="E318" s="82"/>
      <c r="K318" s="83"/>
    </row>
    <row r="319">
      <c r="E319" s="82"/>
      <c r="K319" s="83"/>
    </row>
    <row r="320">
      <c r="E320" s="82"/>
      <c r="K320" s="83"/>
    </row>
    <row r="321">
      <c r="E321" s="82"/>
      <c r="K321" s="83"/>
    </row>
    <row r="322">
      <c r="E322" s="82"/>
      <c r="K322" s="83"/>
    </row>
    <row r="323">
      <c r="E323" s="82"/>
      <c r="K323" s="83"/>
    </row>
    <row r="324">
      <c r="E324" s="82"/>
      <c r="K324" s="83"/>
    </row>
    <row r="325">
      <c r="E325" s="82"/>
      <c r="K325" s="83"/>
    </row>
    <row r="326">
      <c r="E326" s="82"/>
      <c r="K326" s="83"/>
    </row>
    <row r="327">
      <c r="E327" s="82"/>
      <c r="K327" s="83"/>
    </row>
    <row r="328">
      <c r="E328" s="82"/>
      <c r="K328" s="83"/>
    </row>
    <row r="329">
      <c r="E329" s="82"/>
      <c r="K329" s="83"/>
    </row>
    <row r="330">
      <c r="E330" s="82"/>
      <c r="K330" s="83"/>
    </row>
    <row r="331">
      <c r="E331" s="82"/>
      <c r="K331" s="83"/>
    </row>
    <row r="332">
      <c r="E332" s="82"/>
      <c r="K332" s="83"/>
    </row>
    <row r="333">
      <c r="E333" s="82"/>
      <c r="K333" s="83"/>
    </row>
    <row r="334">
      <c r="E334" s="82"/>
      <c r="K334" s="83"/>
    </row>
    <row r="335">
      <c r="E335" s="82"/>
      <c r="K335" s="83"/>
    </row>
    <row r="336">
      <c r="E336" s="82"/>
      <c r="K336" s="83"/>
    </row>
    <row r="337">
      <c r="E337" s="82"/>
      <c r="K337" s="83"/>
    </row>
    <row r="338">
      <c r="E338" s="82"/>
      <c r="K338" s="83"/>
    </row>
    <row r="339">
      <c r="E339" s="82"/>
      <c r="K339" s="83"/>
    </row>
    <row r="340">
      <c r="E340" s="82"/>
      <c r="K340" s="83"/>
    </row>
    <row r="341">
      <c r="E341" s="82"/>
      <c r="K341" s="83"/>
    </row>
    <row r="342">
      <c r="E342" s="82"/>
      <c r="K342" s="83"/>
    </row>
    <row r="343">
      <c r="E343" s="82"/>
      <c r="K343" s="83"/>
    </row>
    <row r="344">
      <c r="E344" s="82"/>
      <c r="K344" s="83"/>
    </row>
    <row r="345">
      <c r="E345" s="82"/>
      <c r="K345" s="83"/>
    </row>
    <row r="346">
      <c r="E346" s="82"/>
      <c r="K346" s="83"/>
    </row>
    <row r="347">
      <c r="E347" s="82"/>
      <c r="K347" s="83"/>
    </row>
    <row r="348">
      <c r="E348" s="82"/>
      <c r="K348" s="83"/>
    </row>
    <row r="349">
      <c r="E349" s="82"/>
      <c r="K349" s="83"/>
    </row>
    <row r="350">
      <c r="E350" s="82"/>
      <c r="K350" s="83"/>
    </row>
    <row r="351">
      <c r="E351" s="82"/>
      <c r="K351" s="83"/>
    </row>
    <row r="352">
      <c r="E352" s="82"/>
      <c r="K352" s="83"/>
    </row>
    <row r="353">
      <c r="E353" s="82"/>
      <c r="K353" s="83"/>
    </row>
    <row r="354">
      <c r="E354" s="82"/>
      <c r="K354" s="83"/>
    </row>
    <row r="355">
      <c r="E355" s="82"/>
      <c r="K355" s="83"/>
    </row>
    <row r="356">
      <c r="E356" s="82"/>
      <c r="K356" s="83"/>
    </row>
    <row r="357">
      <c r="E357" s="82"/>
      <c r="K357" s="83"/>
    </row>
    <row r="358">
      <c r="E358" s="82"/>
      <c r="K358" s="83"/>
    </row>
    <row r="359">
      <c r="E359" s="82"/>
      <c r="K359" s="83"/>
    </row>
    <row r="360">
      <c r="E360" s="82"/>
      <c r="K360" s="83"/>
    </row>
    <row r="361">
      <c r="E361" s="82"/>
      <c r="K361" s="83"/>
    </row>
    <row r="362">
      <c r="E362" s="82"/>
      <c r="K362" s="83"/>
    </row>
    <row r="363">
      <c r="E363" s="82"/>
      <c r="K363" s="83"/>
    </row>
    <row r="364">
      <c r="E364" s="82"/>
      <c r="K364" s="83"/>
    </row>
    <row r="365">
      <c r="E365" s="82"/>
      <c r="K365" s="83"/>
    </row>
    <row r="366">
      <c r="E366" s="82"/>
      <c r="K366" s="83"/>
    </row>
    <row r="367">
      <c r="E367" s="82"/>
      <c r="K367" s="83"/>
    </row>
    <row r="368">
      <c r="E368" s="82"/>
      <c r="K368" s="83"/>
    </row>
    <row r="369">
      <c r="E369" s="82"/>
      <c r="K369" s="83"/>
    </row>
    <row r="370">
      <c r="E370" s="82"/>
      <c r="K370" s="83"/>
    </row>
    <row r="371">
      <c r="E371" s="82"/>
      <c r="K371" s="83"/>
    </row>
    <row r="372">
      <c r="E372" s="82"/>
      <c r="K372" s="83"/>
    </row>
    <row r="373">
      <c r="E373" s="82"/>
      <c r="K373" s="83"/>
    </row>
    <row r="374">
      <c r="E374" s="82"/>
      <c r="K374" s="83"/>
    </row>
    <row r="375">
      <c r="E375" s="82"/>
      <c r="K375" s="83"/>
    </row>
    <row r="376">
      <c r="E376" s="82"/>
      <c r="K376" s="83"/>
    </row>
    <row r="377">
      <c r="E377" s="82"/>
      <c r="K377" s="83"/>
    </row>
    <row r="378">
      <c r="E378" s="82"/>
      <c r="K378" s="83"/>
    </row>
    <row r="379">
      <c r="E379" s="82"/>
      <c r="K379" s="83"/>
    </row>
    <row r="380">
      <c r="E380" s="82"/>
      <c r="K380" s="83"/>
    </row>
    <row r="381">
      <c r="E381" s="82"/>
      <c r="K381" s="83"/>
    </row>
    <row r="382">
      <c r="E382" s="82"/>
      <c r="K382" s="83"/>
    </row>
    <row r="383">
      <c r="E383" s="82"/>
      <c r="K383" s="83"/>
    </row>
    <row r="384">
      <c r="E384" s="82"/>
      <c r="K384" s="83"/>
    </row>
    <row r="385">
      <c r="E385" s="82"/>
      <c r="K385" s="83"/>
    </row>
    <row r="386">
      <c r="E386" s="82"/>
      <c r="K386" s="83"/>
    </row>
    <row r="387">
      <c r="E387" s="82"/>
      <c r="K387" s="83"/>
    </row>
    <row r="388">
      <c r="E388" s="82"/>
      <c r="K388" s="83"/>
    </row>
    <row r="389">
      <c r="E389" s="82"/>
      <c r="K389" s="83"/>
    </row>
    <row r="390">
      <c r="E390" s="82"/>
      <c r="K390" s="83"/>
    </row>
    <row r="391">
      <c r="E391" s="82"/>
      <c r="K391" s="83"/>
    </row>
    <row r="392">
      <c r="E392" s="82"/>
      <c r="K392" s="83"/>
    </row>
    <row r="393">
      <c r="E393" s="82"/>
      <c r="K393" s="83"/>
    </row>
    <row r="394">
      <c r="E394" s="82"/>
      <c r="K394" s="83"/>
    </row>
    <row r="395">
      <c r="E395" s="82"/>
      <c r="K395" s="83"/>
    </row>
    <row r="396">
      <c r="E396" s="82"/>
      <c r="K396" s="83"/>
    </row>
    <row r="397">
      <c r="E397" s="82"/>
      <c r="K397" s="83"/>
    </row>
    <row r="398">
      <c r="E398" s="82"/>
      <c r="K398" s="83"/>
    </row>
    <row r="399">
      <c r="E399" s="82"/>
      <c r="K399" s="83"/>
    </row>
    <row r="400">
      <c r="E400" s="82"/>
      <c r="K400" s="83"/>
    </row>
    <row r="401">
      <c r="E401" s="82"/>
      <c r="K401" s="83"/>
    </row>
    <row r="402">
      <c r="E402" s="82"/>
      <c r="K402" s="83"/>
    </row>
    <row r="403">
      <c r="E403" s="82"/>
      <c r="K403" s="83"/>
    </row>
    <row r="404">
      <c r="E404" s="82"/>
      <c r="K404" s="83"/>
    </row>
    <row r="405">
      <c r="E405" s="82"/>
      <c r="K405" s="83"/>
    </row>
    <row r="406">
      <c r="E406" s="82"/>
      <c r="K406" s="83"/>
    </row>
    <row r="407">
      <c r="E407" s="82"/>
      <c r="K407" s="83"/>
    </row>
    <row r="408">
      <c r="E408" s="82"/>
      <c r="K408" s="83"/>
    </row>
    <row r="409">
      <c r="E409" s="82"/>
      <c r="K409" s="83"/>
    </row>
    <row r="410">
      <c r="E410" s="82"/>
      <c r="K410" s="83"/>
    </row>
    <row r="411">
      <c r="E411" s="82"/>
      <c r="K411" s="83"/>
    </row>
    <row r="412">
      <c r="E412" s="82"/>
      <c r="K412" s="83"/>
    </row>
    <row r="413">
      <c r="E413" s="82"/>
      <c r="K413" s="83"/>
    </row>
    <row r="414">
      <c r="E414" s="82"/>
      <c r="K414" s="83"/>
    </row>
    <row r="415">
      <c r="E415" s="82"/>
      <c r="K415" s="83"/>
    </row>
    <row r="416">
      <c r="E416" s="82"/>
      <c r="K416" s="83"/>
    </row>
    <row r="417">
      <c r="E417" s="82"/>
      <c r="K417" s="83"/>
    </row>
    <row r="418">
      <c r="E418" s="82"/>
      <c r="K418" s="83"/>
    </row>
    <row r="419">
      <c r="E419" s="82"/>
      <c r="K419" s="83"/>
    </row>
    <row r="420">
      <c r="E420" s="82"/>
      <c r="K420" s="83"/>
    </row>
    <row r="421">
      <c r="E421" s="82"/>
      <c r="K421" s="83"/>
    </row>
    <row r="422">
      <c r="E422" s="82"/>
      <c r="K422" s="83"/>
    </row>
    <row r="423">
      <c r="E423" s="82"/>
      <c r="K423" s="83"/>
    </row>
    <row r="424">
      <c r="E424" s="82"/>
      <c r="K424" s="83"/>
    </row>
    <row r="425">
      <c r="E425" s="82"/>
      <c r="K425" s="83"/>
    </row>
    <row r="426">
      <c r="E426" s="82"/>
      <c r="K426" s="83"/>
    </row>
    <row r="427">
      <c r="E427" s="82"/>
      <c r="K427" s="83"/>
    </row>
    <row r="428">
      <c r="E428" s="82"/>
      <c r="K428" s="83"/>
    </row>
    <row r="429">
      <c r="E429" s="82"/>
      <c r="K429" s="83"/>
    </row>
    <row r="430">
      <c r="E430" s="82"/>
      <c r="K430" s="83"/>
    </row>
    <row r="431">
      <c r="E431" s="82"/>
      <c r="K431" s="83"/>
    </row>
    <row r="432">
      <c r="E432" s="82"/>
      <c r="K432" s="83"/>
    </row>
    <row r="433">
      <c r="E433" s="82"/>
      <c r="K433" s="83"/>
    </row>
    <row r="434">
      <c r="E434" s="82"/>
      <c r="K434" s="83"/>
    </row>
    <row r="435">
      <c r="E435" s="82"/>
      <c r="K435" s="83"/>
    </row>
    <row r="436">
      <c r="E436" s="82"/>
      <c r="K436" s="83"/>
    </row>
    <row r="437">
      <c r="E437" s="82"/>
      <c r="K437" s="83"/>
    </row>
    <row r="438">
      <c r="E438" s="82"/>
      <c r="K438" s="83"/>
    </row>
    <row r="439">
      <c r="E439" s="82"/>
      <c r="K439" s="83"/>
    </row>
    <row r="440">
      <c r="E440" s="82"/>
      <c r="K440" s="83"/>
    </row>
    <row r="441">
      <c r="E441" s="82"/>
      <c r="K441" s="83"/>
    </row>
    <row r="442">
      <c r="E442" s="82"/>
      <c r="K442" s="83"/>
    </row>
    <row r="443">
      <c r="E443" s="82"/>
      <c r="K443" s="83"/>
    </row>
    <row r="444">
      <c r="E444" s="82"/>
      <c r="K444" s="83"/>
    </row>
    <row r="445">
      <c r="E445" s="82"/>
      <c r="K445" s="83"/>
    </row>
    <row r="446">
      <c r="E446" s="82"/>
      <c r="K446" s="83"/>
    </row>
    <row r="447">
      <c r="E447" s="82"/>
      <c r="K447" s="83"/>
    </row>
    <row r="448">
      <c r="E448" s="82"/>
      <c r="K448" s="83"/>
    </row>
    <row r="449">
      <c r="E449" s="82"/>
      <c r="K449" s="83"/>
    </row>
    <row r="450">
      <c r="E450" s="82"/>
      <c r="K450" s="83"/>
    </row>
    <row r="451">
      <c r="E451" s="82"/>
      <c r="K451" s="83"/>
    </row>
    <row r="452">
      <c r="E452" s="82"/>
      <c r="K452" s="83"/>
    </row>
    <row r="453">
      <c r="E453" s="82"/>
      <c r="K453" s="83"/>
    </row>
    <row r="454">
      <c r="E454" s="82"/>
      <c r="K454" s="83"/>
    </row>
    <row r="455">
      <c r="E455" s="82"/>
      <c r="K455" s="83"/>
    </row>
    <row r="456">
      <c r="E456" s="82"/>
      <c r="K456" s="83"/>
    </row>
    <row r="457">
      <c r="E457" s="82"/>
      <c r="K457" s="83"/>
    </row>
    <row r="458">
      <c r="E458" s="82"/>
      <c r="K458" s="83"/>
    </row>
    <row r="459">
      <c r="E459" s="82"/>
      <c r="K459" s="83"/>
    </row>
    <row r="460">
      <c r="E460" s="82"/>
      <c r="K460" s="83"/>
    </row>
    <row r="461">
      <c r="E461" s="82"/>
      <c r="K461" s="83"/>
    </row>
    <row r="462">
      <c r="E462" s="82"/>
      <c r="K462" s="83"/>
    </row>
    <row r="463">
      <c r="E463" s="82"/>
      <c r="K463" s="83"/>
    </row>
    <row r="464">
      <c r="E464" s="82"/>
      <c r="K464" s="83"/>
    </row>
    <row r="465">
      <c r="E465" s="82"/>
      <c r="K465" s="83"/>
    </row>
    <row r="466">
      <c r="E466" s="82"/>
      <c r="K466" s="83"/>
    </row>
    <row r="467">
      <c r="E467" s="82"/>
      <c r="K467" s="83"/>
    </row>
    <row r="468">
      <c r="E468" s="82"/>
      <c r="K468" s="83"/>
    </row>
    <row r="469">
      <c r="E469" s="82"/>
      <c r="K469" s="83"/>
    </row>
    <row r="470">
      <c r="E470" s="82"/>
      <c r="K470" s="83"/>
    </row>
    <row r="471">
      <c r="E471" s="82"/>
      <c r="K471" s="83"/>
    </row>
    <row r="472">
      <c r="E472" s="82"/>
      <c r="K472" s="83"/>
    </row>
    <row r="473">
      <c r="E473" s="82"/>
      <c r="K473" s="83"/>
    </row>
    <row r="474">
      <c r="E474" s="82"/>
      <c r="K474" s="83"/>
    </row>
    <row r="475">
      <c r="E475" s="82"/>
      <c r="K475" s="83"/>
    </row>
    <row r="476">
      <c r="E476" s="82"/>
      <c r="K476" s="83"/>
    </row>
    <row r="477">
      <c r="E477" s="82"/>
      <c r="K477" s="83"/>
    </row>
    <row r="478">
      <c r="E478" s="82"/>
      <c r="K478" s="83"/>
    </row>
    <row r="479">
      <c r="E479" s="82"/>
      <c r="K479" s="83"/>
    </row>
    <row r="480">
      <c r="E480" s="82"/>
      <c r="K480" s="83"/>
    </row>
    <row r="481">
      <c r="E481" s="82"/>
      <c r="K481" s="83"/>
    </row>
    <row r="482">
      <c r="E482" s="82"/>
      <c r="K482" s="83"/>
    </row>
    <row r="483">
      <c r="E483" s="82"/>
      <c r="K483" s="83"/>
    </row>
    <row r="484">
      <c r="E484" s="82"/>
      <c r="K484" s="83"/>
    </row>
    <row r="485">
      <c r="E485" s="82"/>
      <c r="K485" s="83"/>
    </row>
    <row r="486">
      <c r="E486" s="82"/>
      <c r="K486" s="83"/>
    </row>
    <row r="487">
      <c r="E487" s="82"/>
      <c r="K487" s="83"/>
    </row>
    <row r="488">
      <c r="E488" s="82"/>
      <c r="K488" s="83"/>
    </row>
    <row r="489">
      <c r="E489" s="82"/>
      <c r="K489" s="83"/>
    </row>
    <row r="490">
      <c r="E490" s="82"/>
      <c r="K490" s="83"/>
    </row>
    <row r="491">
      <c r="E491" s="82"/>
      <c r="K491" s="83"/>
    </row>
    <row r="492">
      <c r="E492" s="82"/>
      <c r="K492" s="83"/>
    </row>
    <row r="493">
      <c r="E493" s="82"/>
      <c r="K493" s="83"/>
    </row>
    <row r="494">
      <c r="E494" s="82"/>
      <c r="K494" s="83"/>
    </row>
    <row r="495">
      <c r="E495" s="82"/>
      <c r="K495" s="83"/>
    </row>
    <row r="496">
      <c r="E496" s="82"/>
      <c r="K496" s="83"/>
    </row>
    <row r="497">
      <c r="E497" s="82"/>
      <c r="K497" s="83"/>
    </row>
    <row r="498">
      <c r="E498" s="82"/>
      <c r="K498" s="83"/>
    </row>
    <row r="499">
      <c r="E499" s="82"/>
      <c r="K499" s="83"/>
    </row>
    <row r="500">
      <c r="E500" s="82"/>
      <c r="K500" s="83"/>
    </row>
    <row r="501">
      <c r="E501" s="82"/>
      <c r="K501" s="83"/>
    </row>
    <row r="502">
      <c r="E502" s="82"/>
      <c r="K502" s="83"/>
    </row>
    <row r="503">
      <c r="E503" s="82"/>
      <c r="K503" s="83"/>
    </row>
    <row r="504">
      <c r="E504" s="82"/>
      <c r="K504" s="83"/>
    </row>
    <row r="505">
      <c r="E505" s="82"/>
      <c r="K505" s="83"/>
    </row>
    <row r="506">
      <c r="E506" s="82"/>
      <c r="K506" s="83"/>
    </row>
    <row r="507">
      <c r="E507" s="82"/>
      <c r="K507" s="83"/>
    </row>
    <row r="508">
      <c r="E508" s="82"/>
      <c r="K508" s="83"/>
    </row>
    <row r="509">
      <c r="E509" s="82"/>
      <c r="K509" s="83"/>
    </row>
    <row r="510">
      <c r="E510" s="82"/>
      <c r="K510" s="83"/>
    </row>
    <row r="511">
      <c r="E511" s="82"/>
      <c r="K511" s="83"/>
    </row>
    <row r="512">
      <c r="E512" s="82"/>
      <c r="K512" s="83"/>
    </row>
    <row r="513">
      <c r="E513" s="82"/>
      <c r="K513" s="83"/>
    </row>
    <row r="514">
      <c r="E514" s="82"/>
      <c r="K514" s="83"/>
    </row>
    <row r="515">
      <c r="E515" s="82"/>
      <c r="K515" s="83"/>
    </row>
    <row r="516">
      <c r="E516" s="82"/>
      <c r="K516" s="83"/>
    </row>
    <row r="517">
      <c r="E517" s="82"/>
      <c r="K517" s="83"/>
    </row>
    <row r="518">
      <c r="E518" s="82"/>
      <c r="K518" s="83"/>
    </row>
    <row r="519">
      <c r="E519" s="82"/>
      <c r="K519" s="83"/>
    </row>
    <row r="520">
      <c r="E520" s="82"/>
      <c r="K520" s="83"/>
    </row>
    <row r="521">
      <c r="E521" s="82"/>
      <c r="K521" s="83"/>
    </row>
    <row r="522">
      <c r="E522" s="82"/>
      <c r="K522" s="83"/>
    </row>
    <row r="523">
      <c r="E523" s="82"/>
      <c r="K523" s="83"/>
    </row>
    <row r="524">
      <c r="E524" s="82"/>
      <c r="K524" s="83"/>
    </row>
    <row r="525">
      <c r="E525" s="82"/>
      <c r="K525" s="83"/>
    </row>
    <row r="526">
      <c r="E526" s="82"/>
      <c r="K526" s="83"/>
    </row>
    <row r="527">
      <c r="E527" s="82"/>
      <c r="K527" s="83"/>
    </row>
    <row r="528">
      <c r="E528" s="82"/>
      <c r="K528" s="83"/>
    </row>
    <row r="529">
      <c r="E529" s="82"/>
      <c r="K529" s="83"/>
    </row>
    <row r="530">
      <c r="E530" s="82"/>
      <c r="K530" s="83"/>
    </row>
    <row r="531">
      <c r="E531" s="82"/>
      <c r="K531" s="83"/>
    </row>
    <row r="532">
      <c r="E532" s="82"/>
      <c r="K532" s="83"/>
    </row>
    <row r="533">
      <c r="E533" s="82"/>
      <c r="K533" s="83"/>
    </row>
    <row r="534">
      <c r="E534" s="82"/>
      <c r="K534" s="83"/>
    </row>
    <row r="535">
      <c r="E535" s="82"/>
      <c r="K535" s="83"/>
    </row>
    <row r="536">
      <c r="E536" s="82"/>
      <c r="K536" s="83"/>
    </row>
    <row r="537">
      <c r="E537" s="82"/>
      <c r="K537" s="83"/>
    </row>
    <row r="538">
      <c r="E538" s="82"/>
      <c r="K538" s="83"/>
    </row>
    <row r="539">
      <c r="E539" s="82"/>
      <c r="K539" s="83"/>
    </row>
    <row r="540">
      <c r="E540" s="82"/>
      <c r="K540" s="83"/>
    </row>
    <row r="541">
      <c r="E541" s="82"/>
      <c r="K541" s="83"/>
    </row>
    <row r="542">
      <c r="E542" s="82"/>
      <c r="K542" s="83"/>
    </row>
    <row r="543">
      <c r="E543" s="82"/>
      <c r="K543" s="83"/>
    </row>
    <row r="544">
      <c r="E544" s="82"/>
      <c r="K544" s="83"/>
    </row>
    <row r="545">
      <c r="E545" s="82"/>
      <c r="K545" s="83"/>
    </row>
    <row r="546">
      <c r="E546" s="82"/>
      <c r="K546" s="83"/>
    </row>
    <row r="547">
      <c r="E547" s="82"/>
      <c r="K547" s="83"/>
    </row>
    <row r="548">
      <c r="E548" s="82"/>
      <c r="K548" s="83"/>
    </row>
    <row r="549">
      <c r="E549" s="82"/>
      <c r="K549" s="83"/>
    </row>
    <row r="550">
      <c r="E550" s="82"/>
      <c r="K550" s="83"/>
    </row>
    <row r="551">
      <c r="E551" s="82"/>
      <c r="K551" s="83"/>
    </row>
    <row r="552">
      <c r="E552" s="82"/>
      <c r="K552" s="83"/>
    </row>
    <row r="553">
      <c r="E553" s="82"/>
      <c r="K553" s="83"/>
    </row>
    <row r="554">
      <c r="E554" s="82"/>
      <c r="K554" s="83"/>
    </row>
    <row r="555">
      <c r="E555" s="82"/>
      <c r="K555" s="83"/>
    </row>
    <row r="556">
      <c r="E556" s="82"/>
      <c r="K556" s="83"/>
    </row>
    <row r="557">
      <c r="E557" s="82"/>
      <c r="K557" s="83"/>
    </row>
    <row r="558">
      <c r="E558" s="82"/>
      <c r="K558" s="83"/>
    </row>
    <row r="559">
      <c r="E559" s="82"/>
      <c r="K559" s="83"/>
    </row>
    <row r="560">
      <c r="E560" s="82"/>
      <c r="K560" s="83"/>
    </row>
    <row r="561">
      <c r="E561" s="82"/>
      <c r="K561" s="83"/>
    </row>
    <row r="562">
      <c r="E562" s="82"/>
      <c r="K562" s="83"/>
    </row>
    <row r="563">
      <c r="E563" s="82"/>
      <c r="K563" s="83"/>
    </row>
    <row r="564">
      <c r="E564" s="82"/>
      <c r="K564" s="83"/>
    </row>
    <row r="565">
      <c r="E565" s="82"/>
      <c r="K565" s="83"/>
    </row>
    <row r="566">
      <c r="E566" s="82"/>
      <c r="K566" s="83"/>
    </row>
    <row r="567">
      <c r="E567" s="82"/>
      <c r="K567" s="83"/>
    </row>
    <row r="568">
      <c r="E568" s="82"/>
      <c r="K568" s="83"/>
    </row>
    <row r="569">
      <c r="E569" s="82"/>
      <c r="K569" s="83"/>
    </row>
    <row r="570">
      <c r="E570" s="82"/>
      <c r="K570" s="83"/>
    </row>
    <row r="571">
      <c r="E571" s="82"/>
      <c r="K571" s="83"/>
    </row>
    <row r="572">
      <c r="E572" s="82"/>
      <c r="K572" s="83"/>
    </row>
    <row r="573">
      <c r="E573" s="82"/>
      <c r="K573" s="83"/>
    </row>
    <row r="574">
      <c r="E574" s="82"/>
      <c r="K574" s="83"/>
    </row>
    <row r="575">
      <c r="E575" s="82"/>
      <c r="K575" s="83"/>
    </row>
    <row r="576">
      <c r="E576" s="82"/>
      <c r="K576" s="83"/>
    </row>
    <row r="577">
      <c r="E577" s="82"/>
      <c r="K577" s="83"/>
    </row>
    <row r="578">
      <c r="E578" s="82"/>
      <c r="K578" s="83"/>
    </row>
    <row r="579">
      <c r="E579" s="82"/>
      <c r="K579" s="83"/>
    </row>
    <row r="580">
      <c r="E580" s="82"/>
      <c r="K580" s="83"/>
    </row>
    <row r="581">
      <c r="E581" s="82"/>
      <c r="K581" s="83"/>
    </row>
    <row r="582">
      <c r="E582" s="82"/>
      <c r="K582" s="83"/>
    </row>
    <row r="583">
      <c r="E583" s="82"/>
      <c r="K583" s="83"/>
    </row>
    <row r="584">
      <c r="E584" s="82"/>
      <c r="K584" s="83"/>
    </row>
    <row r="585">
      <c r="E585" s="82"/>
      <c r="K585" s="83"/>
    </row>
    <row r="586">
      <c r="E586" s="82"/>
      <c r="K586" s="83"/>
    </row>
    <row r="587">
      <c r="E587" s="82"/>
      <c r="K587" s="83"/>
    </row>
    <row r="588">
      <c r="E588" s="82"/>
      <c r="K588" s="83"/>
    </row>
    <row r="589">
      <c r="E589" s="82"/>
      <c r="K589" s="83"/>
    </row>
    <row r="590">
      <c r="E590" s="82"/>
      <c r="K590" s="83"/>
    </row>
    <row r="591">
      <c r="E591" s="82"/>
      <c r="K591" s="83"/>
    </row>
    <row r="592">
      <c r="E592" s="82"/>
      <c r="K592" s="83"/>
    </row>
    <row r="593">
      <c r="E593" s="82"/>
      <c r="K593" s="83"/>
    </row>
    <row r="594">
      <c r="E594" s="82"/>
      <c r="K594" s="83"/>
    </row>
    <row r="595">
      <c r="E595" s="82"/>
      <c r="K595" s="83"/>
    </row>
    <row r="596">
      <c r="E596" s="82"/>
      <c r="K596" s="83"/>
    </row>
    <row r="597">
      <c r="E597" s="82"/>
      <c r="K597" s="83"/>
    </row>
    <row r="598">
      <c r="E598" s="82"/>
      <c r="K598" s="83"/>
    </row>
    <row r="599">
      <c r="E599" s="82"/>
      <c r="K599" s="83"/>
    </row>
    <row r="600">
      <c r="E600" s="82"/>
      <c r="K600" s="83"/>
    </row>
    <row r="601">
      <c r="E601" s="82"/>
      <c r="K601" s="83"/>
    </row>
    <row r="602">
      <c r="E602" s="82"/>
      <c r="K602" s="83"/>
    </row>
    <row r="603">
      <c r="E603" s="82"/>
      <c r="K603" s="83"/>
    </row>
    <row r="604">
      <c r="E604" s="82"/>
      <c r="K604" s="83"/>
    </row>
    <row r="605">
      <c r="E605" s="82"/>
      <c r="K605" s="83"/>
    </row>
    <row r="606">
      <c r="E606" s="82"/>
      <c r="K606" s="83"/>
    </row>
    <row r="607">
      <c r="E607" s="82"/>
      <c r="K607" s="83"/>
    </row>
    <row r="608">
      <c r="E608" s="82"/>
      <c r="K608" s="83"/>
    </row>
    <row r="609">
      <c r="E609" s="82"/>
      <c r="K609" s="83"/>
    </row>
    <row r="610">
      <c r="E610" s="82"/>
      <c r="K610" s="83"/>
    </row>
    <row r="611">
      <c r="E611" s="82"/>
      <c r="K611" s="83"/>
    </row>
    <row r="612">
      <c r="E612" s="82"/>
      <c r="K612" s="83"/>
    </row>
    <row r="613">
      <c r="E613" s="82"/>
      <c r="K613" s="83"/>
    </row>
    <row r="614">
      <c r="E614" s="82"/>
      <c r="K614" s="83"/>
    </row>
    <row r="615">
      <c r="E615" s="82"/>
      <c r="K615" s="83"/>
    </row>
    <row r="616">
      <c r="E616" s="82"/>
      <c r="K616" s="83"/>
    </row>
    <row r="617">
      <c r="E617" s="82"/>
      <c r="K617" s="83"/>
    </row>
    <row r="618">
      <c r="E618" s="82"/>
      <c r="K618" s="83"/>
    </row>
    <row r="619">
      <c r="E619" s="82"/>
      <c r="K619" s="83"/>
    </row>
    <row r="620">
      <c r="E620" s="82"/>
      <c r="K620" s="83"/>
    </row>
    <row r="621">
      <c r="E621" s="82"/>
      <c r="K621" s="83"/>
    </row>
    <row r="622">
      <c r="E622" s="82"/>
      <c r="K622" s="83"/>
    </row>
    <row r="623">
      <c r="E623" s="82"/>
      <c r="K623" s="83"/>
    </row>
    <row r="624">
      <c r="E624" s="82"/>
      <c r="K624" s="83"/>
    </row>
    <row r="625">
      <c r="E625" s="82"/>
      <c r="K625" s="83"/>
    </row>
    <row r="626">
      <c r="E626" s="82"/>
      <c r="K626" s="83"/>
    </row>
    <row r="627">
      <c r="E627" s="82"/>
      <c r="K627" s="83"/>
    </row>
    <row r="628">
      <c r="E628" s="82"/>
      <c r="K628" s="83"/>
    </row>
    <row r="629">
      <c r="E629" s="82"/>
      <c r="K629" s="83"/>
    </row>
    <row r="630">
      <c r="E630" s="82"/>
      <c r="K630" s="83"/>
    </row>
    <row r="631">
      <c r="E631" s="82"/>
      <c r="K631" s="83"/>
    </row>
    <row r="632">
      <c r="E632" s="82"/>
      <c r="K632" s="83"/>
    </row>
    <row r="633">
      <c r="E633" s="82"/>
      <c r="K633" s="83"/>
    </row>
    <row r="634">
      <c r="E634" s="82"/>
      <c r="K634" s="83"/>
    </row>
    <row r="635">
      <c r="E635" s="82"/>
      <c r="K635" s="83"/>
    </row>
    <row r="636">
      <c r="E636" s="82"/>
      <c r="K636" s="83"/>
    </row>
    <row r="637">
      <c r="E637" s="82"/>
      <c r="K637" s="83"/>
    </row>
    <row r="638">
      <c r="E638" s="82"/>
      <c r="K638" s="83"/>
    </row>
    <row r="639">
      <c r="E639" s="82"/>
      <c r="K639" s="83"/>
    </row>
    <row r="640">
      <c r="E640" s="82"/>
      <c r="K640" s="83"/>
    </row>
    <row r="641">
      <c r="E641" s="82"/>
      <c r="K641" s="83"/>
    </row>
    <row r="642">
      <c r="E642" s="82"/>
      <c r="K642" s="83"/>
    </row>
    <row r="643">
      <c r="E643" s="82"/>
      <c r="K643" s="83"/>
    </row>
    <row r="644">
      <c r="E644" s="82"/>
      <c r="K644" s="83"/>
    </row>
    <row r="645">
      <c r="E645" s="82"/>
      <c r="K645" s="83"/>
    </row>
    <row r="646">
      <c r="E646" s="82"/>
      <c r="K646" s="83"/>
    </row>
    <row r="647">
      <c r="E647" s="82"/>
      <c r="K647" s="83"/>
    </row>
    <row r="648">
      <c r="E648" s="82"/>
      <c r="K648" s="83"/>
    </row>
    <row r="649">
      <c r="E649" s="82"/>
      <c r="K649" s="83"/>
    </row>
    <row r="650">
      <c r="E650" s="82"/>
      <c r="K650" s="83"/>
    </row>
    <row r="651">
      <c r="E651" s="82"/>
      <c r="K651" s="83"/>
    </row>
    <row r="652">
      <c r="E652" s="82"/>
      <c r="K652" s="83"/>
    </row>
    <row r="653">
      <c r="E653" s="82"/>
      <c r="K653" s="83"/>
    </row>
    <row r="654">
      <c r="E654" s="82"/>
      <c r="K654" s="83"/>
    </row>
    <row r="655">
      <c r="E655" s="82"/>
      <c r="K655" s="83"/>
    </row>
    <row r="656">
      <c r="E656" s="82"/>
      <c r="K656" s="83"/>
    </row>
    <row r="657">
      <c r="E657" s="82"/>
      <c r="K657" s="83"/>
    </row>
    <row r="658">
      <c r="E658" s="82"/>
      <c r="K658" s="83"/>
    </row>
    <row r="659">
      <c r="E659" s="82"/>
      <c r="K659" s="83"/>
    </row>
    <row r="660">
      <c r="E660" s="82"/>
      <c r="K660" s="83"/>
    </row>
    <row r="661">
      <c r="E661" s="82"/>
      <c r="K661" s="83"/>
    </row>
    <row r="662">
      <c r="E662" s="82"/>
      <c r="K662" s="83"/>
    </row>
    <row r="663">
      <c r="E663" s="82"/>
      <c r="K663" s="83"/>
    </row>
    <row r="664">
      <c r="E664" s="82"/>
      <c r="K664" s="83"/>
    </row>
    <row r="665">
      <c r="E665" s="82"/>
      <c r="K665" s="83"/>
    </row>
    <row r="666">
      <c r="E666" s="82"/>
      <c r="K666" s="83"/>
    </row>
    <row r="667">
      <c r="E667" s="82"/>
      <c r="K667" s="83"/>
    </row>
    <row r="668">
      <c r="E668" s="82"/>
      <c r="K668" s="83"/>
    </row>
    <row r="669">
      <c r="E669" s="82"/>
      <c r="K669" s="83"/>
    </row>
    <row r="670">
      <c r="E670" s="82"/>
      <c r="K670" s="83"/>
    </row>
    <row r="671">
      <c r="E671" s="82"/>
      <c r="K671" s="83"/>
    </row>
    <row r="672">
      <c r="E672" s="82"/>
      <c r="K672" s="83"/>
    </row>
    <row r="673">
      <c r="E673" s="82"/>
      <c r="K673" s="83"/>
    </row>
    <row r="674">
      <c r="E674" s="82"/>
      <c r="K674" s="83"/>
    </row>
    <row r="675">
      <c r="E675" s="82"/>
      <c r="K675" s="83"/>
    </row>
    <row r="676">
      <c r="E676" s="82"/>
      <c r="K676" s="83"/>
    </row>
    <row r="677">
      <c r="E677" s="82"/>
      <c r="K677" s="83"/>
    </row>
    <row r="678">
      <c r="E678" s="82"/>
      <c r="K678" s="83"/>
    </row>
    <row r="679">
      <c r="E679" s="82"/>
      <c r="K679" s="83"/>
    </row>
    <row r="680">
      <c r="E680" s="82"/>
      <c r="K680" s="83"/>
    </row>
    <row r="681">
      <c r="E681" s="82"/>
      <c r="K681" s="83"/>
    </row>
    <row r="682">
      <c r="E682" s="82"/>
      <c r="K682" s="83"/>
    </row>
    <row r="683">
      <c r="E683" s="82"/>
      <c r="K683" s="83"/>
    </row>
    <row r="684">
      <c r="E684" s="82"/>
      <c r="K684" s="83"/>
    </row>
    <row r="685">
      <c r="E685" s="82"/>
      <c r="K685" s="83"/>
    </row>
    <row r="686">
      <c r="E686" s="82"/>
      <c r="K686" s="83"/>
    </row>
    <row r="687">
      <c r="E687" s="82"/>
      <c r="K687" s="83"/>
    </row>
    <row r="688">
      <c r="E688" s="82"/>
      <c r="K688" s="83"/>
    </row>
    <row r="689">
      <c r="E689" s="82"/>
      <c r="K689" s="83"/>
    </row>
    <row r="690">
      <c r="E690" s="82"/>
      <c r="K690" s="83"/>
    </row>
    <row r="691">
      <c r="E691" s="82"/>
      <c r="K691" s="83"/>
    </row>
    <row r="692">
      <c r="E692" s="82"/>
      <c r="K692" s="83"/>
    </row>
    <row r="693">
      <c r="E693" s="82"/>
      <c r="K693" s="83"/>
    </row>
    <row r="694">
      <c r="E694" s="82"/>
      <c r="K694" s="83"/>
    </row>
    <row r="695">
      <c r="E695" s="82"/>
      <c r="K695" s="83"/>
    </row>
    <row r="696">
      <c r="E696" s="82"/>
      <c r="K696" s="83"/>
    </row>
    <row r="697">
      <c r="E697" s="82"/>
      <c r="K697" s="83"/>
    </row>
    <row r="698">
      <c r="E698" s="82"/>
      <c r="K698" s="83"/>
    </row>
    <row r="699">
      <c r="E699" s="82"/>
      <c r="K699" s="83"/>
    </row>
    <row r="700">
      <c r="E700" s="82"/>
      <c r="K700" s="83"/>
    </row>
    <row r="701">
      <c r="E701" s="82"/>
      <c r="K701" s="83"/>
    </row>
    <row r="702">
      <c r="E702" s="82"/>
      <c r="K702" s="83"/>
    </row>
    <row r="703">
      <c r="E703" s="82"/>
      <c r="K703" s="83"/>
    </row>
    <row r="704">
      <c r="E704" s="82"/>
      <c r="K704" s="83"/>
    </row>
    <row r="705">
      <c r="E705" s="82"/>
      <c r="K705" s="83"/>
    </row>
    <row r="706">
      <c r="E706" s="82"/>
      <c r="K706" s="83"/>
    </row>
    <row r="707">
      <c r="E707" s="82"/>
      <c r="K707" s="83"/>
    </row>
    <row r="708">
      <c r="E708" s="82"/>
      <c r="K708" s="83"/>
    </row>
    <row r="709">
      <c r="E709" s="82"/>
      <c r="K709" s="83"/>
    </row>
    <row r="710">
      <c r="E710" s="82"/>
      <c r="K710" s="83"/>
    </row>
    <row r="711">
      <c r="E711" s="82"/>
      <c r="K711" s="83"/>
    </row>
    <row r="712">
      <c r="E712" s="82"/>
      <c r="K712" s="83"/>
    </row>
    <row r="713">
      <c r="E713" s="82"/>
      <c r="K713" s="83"/>
    </row>
    <row r="714">
      <c r="E714" s="82"/>
      <c r="K714" s="83"/>
    </row>
    <row r="715">
      <c r="E715" s="82"/>
      <c r="K715" s="83"/>
    </row>
    <row r="716">
      <c r="E716" s="82"/>
      <c r="K716" s="83"/>
    </row>
    <row r="717">
      <c r="E717" s="82"/>
      <c r="K717" s="83"/>
    </row>
    <row r="718">
      <c r="E718" s="82"/>
      <c r="K718" s="83"/>
    </row>
    <row r="719">
      <c r="E719" s="82"/>
      <c r="K719" s="83"/>
    </row>
    <row r="720">
      <c r="E720" s="82"/>
      <c r="K720" s="83"/>
    </row>
    <row r="721">
      <c r="E721" s="82"/>
      <c r="K721" s="83"/>
    </row>
    <row r="722">
      <c r="E722" s="82"/>
      <c r="K722" s="83"/>
    </row>
    <row r="723">
      <c r="E723" s="82"/>
      <c r="K723" s="83"/>
    </row>
    <row r="724">
      <c r="E724" s="82"/>
      <c r="K724" s="83"/>
    </row>
    <row r="725">
      <c r="E725" s="82"/>
      <c r="K725" s="83"/>
    </row>
    <row r="726">
      <c r="E726" s="82"/>
      <c r="K726" s="83"/>
    </row>
    <row r="727">
      <c r="E727" s="82"/>
      <c r="K727" s="83"/>
    </row>
    <row r="728">
      <c r="E728" s="82"/>
      <c r="K728" s="83"/>
    </row>
    <row r="729">
      <c r="E729" s="82"/>
      <c r="K729" s="83"/>
    </row>
    <row r="730">
      <c r="E730" s="82"/>
      <c r="K730" s="83"/>
    </row>
    <row r="731">
      <c r="E731" s="82"/>
      <c r="K731" s="83"/>
    </row>
    <row r="732">
      <c r="E732" s="82"/>
      <c r="K732" s="83"/>
    </row>
    <row r="733">
      <c r="E733" s="82"/>
      <c r="K733" s="83"/>
    </row>
    <row r="734">
      <c r="E734" s="82"/>
      <c r="K734" s="83"/>
    </row>
    <row r="735">
      <c r="E735" s="82"/>
      <c r="K735" s="83"/>
    </row>
    <row r="736">
      <c r="E736" s="82"/>
      <c r="K736" s="83"/>
    </row>
    <row r="737">
      <c r="E737" s="82"/>
      <c r="K737" s="83"/>
    </row>
    <row r="738">
      <c r="E738" s="82"/>
      <c r="K738" s="83"/>
    </row>
    <row r="739">
      <c r="E739" s="82"/>
      <c r="K739" s="83"/>
    </row>
    <row r="740">
      <c r="E740" s="82"/>
      <c r="K740" s="83"/>
    </row>
    <row r="741">
      <c r="E741" s="82"/>
      <c r="K741" s="83"/>
    </row>
    <row r="742">
      <c r="E742" s="82"/>
      <c r="K742" s="83"/>
    </row>
    <row r="743">
      <c r="E743" s="82"/>
      <c r="K743" s="83"/>
    </row>
    <row r="744">
      <c r="E744" s="82"/>
      <c r="K744" s="83"/>
    </row>
    <row r="745">
      <c r="E745" s="82"/>
      <c r="K745" s="83"/>
    </row>
    <row r="746">
      <c r="E746" s="82"/>
      <c r="K746" s="83"/>
    </row>
    <row r="747">
      <c r="E747" s="82"/>
      <c r="K747" s="83"/>
    </row>
    <row r="748">
      <c r="E748" s="82"/>
      <c r="K748" s="83"/>
    </row>
    <row r="749">
      <c r="E749" s="82"/>
      <c r="K749" s="83"/>
    </row>
    <row r="750">
      <c r="E750" s="82"/>
      <c r="K750" s="83"/>
    </row>
    <row r="751">
      <c r="E751" s="82"/>
      <c r="K751" s="83"/>
    </row>
    <row r="752">
      <c r="E752" s="82"/>
      <c r="K752" s="83"/>
    </row>
    <row r="753">
      <c r="E753" s="82"/>
      <c r="K753" s="83"/>
    </row>
    <row r="754">
      <c r="E754" s="82"/>
      <c r="K754" s="83"/>
    </row>
    <row r="755">
      <c r="E755" s="82"/>
      <c r="K755" s="83"/>
    </row>
    <row r="756">
      <c r="E756" s="82"/>
      <c r="K756" s="83"/>
    </row>
    <row r="757">
      <c r="E757" s="82"/>
      <c r="K757" s="83"/>
    </row>
    <row r="758">
      <c r="E758" s="82"/>
      <c r="K758" s="83"/>
    </row>
    <row r="759">
      <c r="E759" s="82"/>
      <c r="K759" s="83"/>
    </row>
    <row r="760">
      <c r="E760" s="82"/>
      <c r="K760" s="83"/>
    </row>
    <row r="761">
      <c r="E761" s="82"/>
      <c r="K761" s="83"/>
    </row>
    <row r="762">
      <c r="E762" s="82"/>
      <c r="K762" s="83"/>
    </row>
    <row r="763">
      <c r="E763" s="82"/>
      <c r="K763" s="83"/>
    </row>
    <row r="764">
      <c r="E764" s="82"/>
      <c r="K764" s="83"/>
    </row>
    <row r="765">
      <c r="E765" s="82"/>
      <c r="K765" s="83"/>
    </row>
    <row r="766">
      <c r="E766" s="82"/>
      <c r="K766" s="83"/>
    </row>
    <row r="767">
      <c r="E767" s="82"/>
      <c r="K767" s="83"/>
    </row>
    <row r="768">
      <c r="E768" s="82"/>
      <c r="K768" s="83"/>
    </row>
    <row r="769">
      <c r="E769" s="82"/>
      <c r="K769" s="83"/>
    </row>
    <row r="770">
      <c r="E770" s="82"/>
      <c r="K770" s="83"/>
    </row>
    <row r="771">
      <c r="E771" s="82"/>
      <c r="K771" s="83"/>
    </row>
    <row r="772">
      <c r="E772" s="82"/>
      <c r="K772" s="83"/>
    </row>
    <row r="773">
      <c r="E773" s="82"/>
      <c r="K773" s="83"/>
    </row>
    <row r="774">
      <c r="E774" s="82"/>
      <c r="K774" s="83"/>
    </row>
    <row r="775">
      <c r="E775" s="82"/>
      <c r="K775" s="83"/>
    </row>
    <row r="776">
      <c r="E776" s="82"/>
      <c r="K776" s="83"/>
    </row>
    <row r="777">
      <c r="E777" s="82"/>
      <c r="K777" s="83"/>
    </row>
    <row r="778">
      <c r="E778" s="82"/>
      <c r="K778" s="83"/>
    </row>
    <row r="779">
      <c r="E779" s="82"/>
      <c r="K779" s="83"/>
    </row>
    <row r="780">
      <c r="E780" s="82"/>
      <c r="K780" s="83"/>
    </row>
    <row r="781">
      <c r="E781" s="82"/>
      <c r="K781" s="83"/>
    </row>
    <row r="782">
      <c r="E782" s="82"/>
      <c r="K782" s="83"/>
    </row>
    <row r="783">
      <c r="E783" s="82"/>
      <c r="K783" s="83"/>
    </row>
    <row r="784">
      <c r="E784" s="82"/>
      <c r="K784" s="83"/>
    </row>
    <row r="785">
      <c r="E785" s="82"/>
      <c r="K785" s="83"/>
    </row>
    <row r="786">
      <c r="E786" s="82"/>
      <c r="K786" s="83"/>
    </row>
    <row r="787">
      <c r="E787" s="82"/>
      <c r="K787" s="83"/>
    </row>
    <row r="788">
      <c r="E788" s="82"/>
      <c r="K788" s="83"/>
    </row>
    <row r="789">
      <c r="E789" s="82"/>
      <c r="K789" s="83"/>
    </row>
    <row r="790">
      <c r="E790" s="82"/>
      <c r="K790" s="83"/>
    </row>
    <row r="791">
      <c r="E791" s="82"/>
      <c r="K791" s="83"/>
    </row>
    <row r="792">
      <c r="E792" s="82"/>
      <c r="K792" s="83"/>
    </row>
    <row r="793">
      <c r="E793" s="82"/>
      <c r="K793" s="83"/>
    </row>
    <row r="794">
      <c r="E794" s="82"/>
      <c r="K794" s="83"/>
    </row>
    <row r="795">
      <c r="E795" s="82"/>
      <c r="K795" s="83"/>
    </row>
    <row r="796">
      <c r="E796" s="82"/>
      <c r="K796" s="83"/>
    </row>
    <row r="797">
      <c r="E797" s="82"/>
      <c r="K797" s="83"/>
    </row>
    <row r="798">
      <c r="E798" s="82"/>
      <c r="K798" s="83"/>
    </row>
    <row r="799">
      <c r="E799" s="82"/>
      <c r="K799" s="83"/>
    </row>
    <row r="800">
      <c r="E800" s="82"/>
      <c r="K800" s="83"/>
    </row>
    <row r="801">
      <c r="E801" s="82"/>
      <c r="K801" s="83"/>
    </row>
    <row r="802">
      <c r="E802" s="82"/>
      <c r="K802" s="83"/>
    </row>
    <row r="803">
      <c r="E803" s="82"/>
      <c r="K803" s="83"/>
    </row>
    <row r="804">
      <c r="E804" s="82"/>
      <c r="K804" s="83"/>
    </row>
    <row r="805">
      <c r="E805" s="82"/>
      <c r="K805" s="83"/>
    </row>
    <row r="806">
      <c r="E806" s="82"/>
      <c r="K806" s="83"/>
    </row>
    <row r="807">
      <c r="E807" s="82"/>
      <c r="K807" s="83"/>
    </row>
    <row r="808">
      <c r="E808" s="82"/>
      <c r="K808" s="83"/>
    </row>
    <row r="809">
      <c r="E809" s="82"/>
      <c r="K809" s="83"/>
    </row>
    <row r="810">
      <c r="E810" s="82"/>
      <c r="K810" s="83"/>
    </row>
    <row r="811">
      <c r="E811" s="82"/>
      <c r="K811" s="83"/>
    </row>
    <row r="812">
      <c r="E812" s="82"/>
      <c r="K812" s="83"/>
    </row>
    <row r="813">
      <c r="E813" s="82"/>
      <c r="K813" s="83"/>
    </row>
    <row r="814">
      <c r="E814" s="82"/>
      <c r="K814" s="83"/>
    </row>
    <row r="815">
      <c r="E815" s="82"/>
      <c r="K815" s="83"/>
    </row>
    <row r="816">
      <c r="E816" s="82"/>
      <c r="K816" s="83"/>
    </row>
    <row r="817">
      <c r="E817" s="82"/>
      <c r="K817" s="83"/>
    </row>
    <row r="818">
      <c r="E818" s="82"/>
      <c r="K818" s="83"/>
    </row>
    <row r="819">
      <c r="E819" s="82"/>
      <c r="K819" s="83"/>
    </row>
    <row r="820">
      <c r="E820" s="82"/>
      <c r="K820" s="83"/>
    </row>
    <row r="821">
      <c r="E821" s="82"/>
      <c r="K821" s="83"/>
    </row>
    <row r="822">
      <c r="E822" s="82"/>
      <c r="K822" s="83"/>
    </row>
    <row r="823">
      <c r="E823" s="82"/>
      <c r="K823" s="83"/>
    </row>
    <row r="824">
      <c r="E824" s="82"/>
      <c r="K824" s="83"/>
    </row>
    <row r="825">
      <c r="E825" s="82"/>
      <c r="K825" s="83"/>
    </row>
    <row r="826">
      <c r="E826" s="82"/>
      <c r="K826" s="83"/>
    </row>
    <row r="827">
      <c r="E827" s="82"/>
      <c r="K827" s="83"/>
    </row>
    <row r="828">
      <c r="E828" s="82"/>
      <c r="K828" s="83"/>
    </row>
    <row r="829">
      <c r="E829" s="82"/>
      <c r="K829" s="83"/>
    </row>
    <row r="830">
      <c r="E830" s="82"/>
      <c r="K830" s="83"/>
    </row>
    <row r="831">
      <c r="E831" s="82"/>
      <c r="K831" s="83"/>
    </row>
    <row r="832">
      <c r="E832" s="82"/>
      <c r="K832" s="83"/>
    </row>
    <row r="833">
      <c r="E833" s="82"/>
      <c r="K833" s="83"/>
    </row>
    <row r="834">
      <c r="E834" s="82"/>
      <c r="K834" s="83"/>
    </row>
    <row r="835">
      <c r="E835" s="82"/>
      <c r="K835" s="83"/>
    </row>
    <row r="836">
      <c r="E836" s="82"/>
      <c r="K836" s="83"/>
    </row>
    <row r="837">
      <c r="E837" s="82"/>
      <c r="K837" s="83"/>
    </row>
    <row r="838">
      <c r="E838" s="82"/>
      <c r="K838" s="83"/>
    </row>
    <row r="839">
      <c r="E839" s="82"/>
      <c r="K839" s="83"/>
    </row>
    <row r="840">
      <c r="E840" s="82"/>
      <c r="K840" s="83"/>
    </row>
    <row r="841">
      <c r="E841" s="82"/>
      <c r="K841" s="83"/>
    </row>
    <row r="842">
      <c r="E842" s="82"/>
      <c r="K842" s="83"/>
    </row>
    <row r="843">
      <c r="E843" s="82"/>
      <c r="K843" s="83"/>
    </row>
    <row r="844">
      <c r="E844" s="82"/>
      <c r="K844" s="83"/>
    </row>
    <row r="845">
      <c r="E845" s="82"/>
      <c r="K845" s="83"/>
    </row>
    <row r="846">
      <c r="E846" s="82"/>
      <c r="K846" s="83"/>
    </row>
    <row r="847">
      <c r="E847" s="82"/>
      <c r="K847" s="83"/>
    </row>
    <row r="848">
      <c r="E848" s="82"/>
      <c r="K848" s="83"/>
    </row>
    <row r="849">
      <c r="E849" s="82"/>
      <c r="K849" s="83"/>
    </row>
    <row r="850">
      <c r="E850" s="82"/>
      <c r="K850" s="83"/>
    </row>
    <row r="851">
      <c r="E851" s="82"/>
      <c r="K851" s="83"/>
    </row>
    <row r="852">
      <c r="E852" s="82"/>
      <c r="K852" s="83"/>
    </row>
    <row r="853">
      <c r="E853" s="82"/>
      <c r="K853" s="83"/>
    </row>
    <row r="854">
      <c r="E854" s="82"/>
      <c r="K854" s="83"/>
    </row>
    <row r="855">
      <c r="E855" s="82"/>
      <c r="K855" s="83"/>
    </row>
    <row r="856">
      <c r="E856" s="82"/>
      <c r="K856" s="83"/>
    </row>
    <row r="857">
      <c r="E857" s="82"/>
      <c r="K857" s="83"/>
    </row>
    <row r="858">
      <c r="E858" s="82"/>
      <c r="K858" s="83"/>
    </row>
    <row r="859">
      <c r="E859" s="82"/>
      <c r="K859" s="83"/>
    </row>
    <row r="860">
      <c r="E860" s="82"/>
      <c r="K860" s="83"/>
    </row>
    <row r="861">
      <c r="E861" s="82"/>
      <c r="K861" s="83"/>
    </row>
    <row r="862">
      <c r="E862" s="82"/>
      <c r="K862" s="83"/>
    </row>
    <row r="863">
      <c r="E863" s="82"/>
      <c r="K863" s="83"/>
    </row>
    <row r="864">
      <c r="E864" s="82"/>
      <c r="K864" s="83"/>
    </row>
    <row r="865">
      <c r="E865" s="82"/>
      <c r="K865" s="83"/>
    </row>
    <row r="866">
      <c r="E866" s="82"/>
      <c r="K866" s="83"/>
    </row>
    <row r="867">
      <c r="E867" s="82"/>
      <c r="K867" s="83"/>
    </row>
    <row r="868">
      <c r="E868" s="82"/>
      <c r="K868" s="83"/>
    </row>
    <row r="869">
      <c r="E869" s="82"/>
      <c r="K869" s="83"/>
    </row>
    <row r="870">
      <c r="E870" s="82"/>
      <c r="K870" s="83"/>
    </row>
    <row r="871">
      <c r="E871" s="82"/>
      <c r="K871" s="83"/>
    </row>
    <row r="872">
      <c r="E872" s="82"/>
      <c r="K872" s="83"/>
    </row>
    <row r="873">
      <c r="E873" s="82"/>
      <c r="K873" s="83"/>
    </row>
    <row r="874">
      <c r="E874" s="82"/>
      <c r="K874" s="83"/>
    </row>
    <row r="875">
      <c r="E875" s="82"/>
      <c r="K875" s="83"/>
    </row>
    <row r="876">
      <c r="E876" s="82"/>
      <c r="K876" s="83"/>
    </row>
    <row r="877">
      <c r="E877" s="82"/>
      <c r="K877" s="83"/>
    </row>
    <row r="878">
      <c r="E878" s="82"/>
      <c r="K878" s="83"/>
    </row>
    <row r="879">
      <c r="E879" s="82"/>
      <c r="K879" s="83"/>
    </row>
    <row r="880">
      <c r="E880" s="82"/>
      <c r="K880" s="83"/>
    </row>
    <row r="881">
      <c r="E881" s="82"/>
      <c r="K881" s="83"/>
    </row>
    <row r="882">
      <c r="E882" s="82"/>
      <c r="K882" s="83"/>
    </row>
    <row r="883">
      <c r="E883" s="82"/>
      <c r="K883" s="83"/>
    </row>
    <row r="884">
      <c r="E884" s="82"/>
      <c r="K884" s="83"/>
    </row>
    <row r="885">
      <c r="E885" s="82"/>
      <c r="K885" s="83"/>
    </row>
    <row r="886">
      <c r="E886" s="82"/>
      <c r="K886" s="83"/>
    </row>
    <row r="887">
      <c r="E887" s="82"/>
      <c r="K887" s="83"/>
    </row>
    <row r="888">
      <c r="E888" s="82"/>
      <c r="K888" s="83"/>
    </row>
    <row r="889">
      <c r="E889" s="82"/>
      <c r="K889" s="83"/>
    </row>
    <row r="890">
      <c r="E890" s="82"/>
      <c r="K890" s="83"/>
    </row>
    <row r="891">
      <c r="E891" s="82"/>
      <c r="K891" s="83"/>
    </row>
    <row r="892">
      <c r="E892" s="82"/>
      <c r="K892" s="83"/>
    </row>
    <row r="893">
      <c r="E893" s="82"/>
      <c r="K893" s="83"/>
    </row>
    <row r="894">
      <c r="E894" s="82"/>
      <c r="K894" s="83"/>
    </row>
    <row r="895">
      <c r="E895" s="82"/>
      <c r="K895" s="83"/>
    </row>
    <row r="896">
      <c r="E896" s="82"/>
      <c r="K896" s="83"/>
    </row>
    <row r="897">
      <c r="E897" s="82"/>
      <c r="K897" s="83"/>
    </row>
    <row r="898">
      <c r="E898" s="82"/>
      <c r="K898" s="83"/>
    </row>
    <row r="899">
      <c r="E899" s="82"/>
      <c r="K899" s="83"/>
    </row>
    <row r="900">
      <c r="E900" s="82"/>
      <c r="K900" s="83"/>
    </row>
    <row r="901">
      <c r="E901" s="82"/>
      <c r="K901" s="83"/>
    </row>
    <row r="902">
      <c r="E902" s="82"/>
      <c r="K902" s="83"/>
    </row>
    <row r="903">
      <c r="E903" s="82"/>
      <c r="K903" s="83"/>
    </row>
    <row r="904">
      <c r="E904" s="82"/>
      <c r="K904" s="83"/>
    </row>
    <row r="905">
      <c r="E905" s="82"/>
      <c r="K905" s="83"/>
    </row>
    <row r="906">
      <c r="E906" s="82"/>
      <c r="K906" s="83"/>
    </row>
    <row r="907">
      <c r="E907" s="82"/>
      <c r="K907" s="83"/>
    </row>
    <row r="908">
      <c r="E908" s="82"/>
      <c r="K908" s="83"/>
    </row>
    <row r="909">
      <c r="E909" s="82"/>
      <c r="K909" s="83"/>
    </row>
    <row r="910">
      <c r="E910" s="82"/>
      <c r="K910" s="83"/>
    </row>
    <row r="911">
      <c r="E911" s="82"/>
      <c r="K911" s="83"/>
    </row>
    <row r="912">
      <c r="E912" s="82"/>
      <c r="K912" s="83"/>
    </row>
    <row r="913">
      <c r="E913" s="82"/>
      <c r="K913" s="83"/>
    </row>
    <row r="914">
      <c r="E914" s="82"/>
      <c r="K914" s="83"/>
    </row>
    <row r="915">
      <c r="E915" s="82"/>
      <c r="K915" s="83"/>
    </row>
    <row r="916">
      <c r="E916" s="82"/>
      <c r="K916" s="83"/>
    </row>
    <row r="917">
      <c r="E917" s="82"/>
      <c r="K917" s="83"/>
    </row>
    <row r="918">
      <c r="E918" s="82"/>
      <c r="K918" s="83"/>
    </row>
    <row r="919">
      <c r="E919" s="82"/>
      <c r="K919" s="83"/>
    </row>
    <row r="920">
      <c r="E920" s="82"/>
      <c r="K920" s="83"/>
    </row>
    <row r="921">
      <c r="E921" s="82"/>
      <c r="K921" s="83"/>
    </row>
    <row r="922">
      <c r="E922" s="82"/>
      <c r="K922" s="83"/>
    </row>
    <row r="923">
      <c r="E923" s="82"/>
      <c r="K923" s="83"/>
    </row>
    <row r="924">
      <c r="E924" s="82"/>
      <c r="K924" s="83"/>
    </row>
    <row r="925">
      <c r="E925" s="82"/>
      <c r="K925" s="83"/>
    </row>
    <row r="926">
      <c r="E926" s="82"/>
      <c r="K926" s="83"/>
    </row>
    <row r="927">
      <c r="E927" s="82"/>
      <c r="K927" s="83"/>
    </row>
    <row r="928">
      <c r="E928" s="82"/>
      <c r="K928" s="83"/>
    </row>
    <row r="929">
      <c r="E929" s="82"/>
      <c r="K929" s="83"/>
    </row>
    <row r="930">
      <c r="E930" s="82"/>
      <c r="K930" s="83"/>
    </row>
    <row r="931">
      <c r="E931" s="82"/>
      <c r="K931" s="83"/>
    </row>
    <row r="932">
      <c r="E932" s="82"/>
      <c r="K932" s="83"/>
    </row>
    <row r="933">
      <c r="E933" s="82"/>
      <c r="K933" s="83"/>
    </row>
    <row r="934">
      <c r="E934" s="82"/>
      <c r="K934" s="83"/>
    </row>
    <row r="935">
      <c r="E935" s="82"/>
      <c r="K935" s="83"/>
    </row>
    <row r="936">
      <c r="E936" s="82"/>
      <c r="K936" s="83"/>
    </row>
    <row r="937">
      <c r="E937" s="82"/>
      <c r="K937" s="83"/>
    </row>
    <row r="938">
      <c r="E938" s="82"/>
      <c r="K938" s="83"/>
    </row>
    <row r="939">
      <c r="E939" s="82"/>
      <c r="K939" s="83"/>
    </row>
    <row r="940">
      <c r="E940" s="82"/>
      <c r="K940" s="83"/>
    </row>
    <row r="941">
      <c r="E941" s="82"/>
      <c r="K941" s="83"/>
    </row>
    <row r="942">
      <c r="E942" s="82"/>
      <c r="K942" s="83"/>
    </row>
    <row r="943">
      <c r="E943" s="82"/>
      <c r="K943" s="83"/>
    </row>
    <row r="944">
      <c r="E944" s="82"/>
      <c r="K944" s="83"/>
    </row>
    <row r="945">
      <c r="E945" s="82"/>
      <c r="K945" s="83"/>
    </row>
    <row r="946">
      <c r="E946" s="82"/>
      <c r="K946" s="83"/>
    </row>
    <row r="947">
      <c r="E947" s="82"/>
      <c r="K947" s="83"/>
    </row>
    <row r="948">
      <c r="E948" s="82"/>
      <c r="K948" s="83"/>
    </row>
    <row r="949">
      <c r="E949" s="82"/>
      <c r="K949" s="83"/>
    </row>
    <row r="950">
      <c r="E950" s="82"/>
      <c r="K950" s="83"/>
    </row>
    <row r="951">
      <c r="E951" s="82"/>
      <c r="K951" s="83"/>
    </row>
    <row r="952">
      <c r="E952" s="82"/>
      <c r="K952" s="83"/>
    </row>
    <row r="953">
      <c r="E953" s="82"/>
      <c r="K953" s="83"/>
    </row>
    <row r="954">
      <c r="E954" s="82"/>
      <c r="K954" s="83"/>
    </row>
    <row r="955">
      <c r="E955" s="82"/>
      <c r="K955" s="83"/>
    </row>
    <row r="956">
      <c r="E956" s="82"/>
      <c r="K956" s="83"/>
    </row>
    <row r="957">
      <c r="E957" s="82"/>
      <c r="K957" s="83"/>
    </row>
    <row r="958">
      <c r="E958" s="82"/>
      <c r="K958" s="83"/>
    </row>
    <row r="959">
      <c r="E959" s="82"/>
      <c r="K959" s="83"/>
    </row>
    <row r="960">
      <c r="E960" s="82"/>
      <c r="K960" s="83"/>
    </row>
    <row r="961">
      <c r="E961" s="82"/>
      <c r="K961" s="83"/>
    </row>
    <row r="962">
      <c r="E962" s="82"/>
      <c r="K962" s="83"/>
    </row>
    <row r="963">
      <c r="E963" s="82"/>
      <c r="K963" s="83"/>
    </row>
    <row r="964">
      <c r="E964" s="82"/>
      <c r="K964" s="83"/>
    </row>
    <row r="965">
      <c r="E965" s="82"/>
      <c r="K965" s="83"/>
    </row>
    <row r="966">
      <c r="E966" s="82"/>
      <c r="K966" s="83"/>
    </row>
    <row r="967">
      <c r="E967" s="82"/>
      <c r="K967" s="83"/>
    </row>
    <row r="968">
      <c r="E968" s="82"/>
      <c r="K968" s="83"/>
    </row>
    <row r="969">
      <c r="E969" s="82"/>
      <c r="K969" s="83"/>
    </row>
    <row r="970">
      <c r="E970" s="82"/>
      <c r="K970" s="83"/>
    </row>
    <row r="971">
      <c r="E971" s="82"/>
      <c r="K971" s="83"/>
    </row>
    <row r="972">
      <c r="E972" s="82"/>
      <c r="K972" s="83"/>
    </row>
    <row r="973">
      <c r="E973" s="82"/>
      <c r="K973" s="83"/>
    </row>
    <row r="974">
      <c r="E974" s="82"/>
      <c r="K974" s="83"/>
    </row>
    <row r="975">
      <c r="E975" s="82"/>
      <c r="K975" s="83"/>
    </row>
    <row r="976">
      <c r="E976" s="82"/>
      <c r="K976" s="83"/>
    </row>
    <row r="977">
      <c r="E977" s="82"/>
      <c r="K977" s="83"/>
    </row>
    <row r="978">
      <c r="E978" s="82"/>
      <c r="K978" s="83"/>
    </row>
    <row r="979">
      <c r="E979" s="82"/>
      <c r="K979" s="83"/>
    </row>
    <row r="980">
      <c r="E980" s="82"/>
      <c r="K980" s="83"/>
    </row>
    <row r="981">
      <c r="E981" s="82"/>
      <c r="K981" s="83"/>
    </row>
    <row r="982">
      <c r="E982" s="82"/>
      <c r="K982" s="83"/>
    </row>
    <row r="983">
      <c r="E983" s="82"/>
      <c r="K983" s="83"/>
    </row>
    <row r="984">
      <c r="E984" s="82"/>
      <c r="K984" s="83"/>
    </row>
    <row r="985">
      <c r="E985" s="82"/>
      <c r="K985" s="83"/>
    </row>
    <row r="986">
      <c r="E986" s="82"/>
      <c r="K986" s="83"/>
    </row>
    <row r="987">
      <c r="E987" s="82"/>
      <c r="K987" s="83"/>
    </row>
    <row r="988">
      <c r="E988" s="82"/>
      <c r="K988" s="83"/>
    </row>
    <row r="989">
      <c r="E989" s="82"/>
      <c r="K989" s="83"/>
    </row>
    <row r="990">
      <c r="E990" s="82"/>
      <c r="K990" s="83"/>
    </row>
    <row r="991">
      <c r="E991" s="82"/>
      <c r="K991" s="83"/>
    </row>
    <row r="992">
      <c r="E992" s="82"/>
      <c r="K992" s="83"/>
    </row>
    <row r="993">
      <c r="E993" s="82"/>
      <c r="K993" s="83"/>
    </row>
    <row r="994">
      <c r="E994" s="82"/>
      <c r="K994" s="83"/>
    </row>
    <row r="995">
      <c r="E995" s="82"/>
      <c r="K995" s="83"/>
    </row>
    <row r="996">
      <c r="E996" s="82"/>
      <c r="K996" s="83"/>
    </row>
    <row r="997">
      <c r="E997" s="82"/>
      <c r="K997" s="83"/>
    </row>
    <row r="998">
      <c r="E998" s="82"/>
      <c r="K998" s="8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7" t="s">
        <v>164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</row>
    <row r="2">
      <c r="A2" s="2" t="s">
        <v>50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  <c r="G2" s="2" t="s">
        <v>170</v>
      </c>
      <c r="H2" s="7" t="s">
        <v>171</v>
      </c>
      <c r="I2" s="7" t="s">
        <v>7</v>
      </c>
    </row>
    <row r="3">
      <c r="A3" s="2" t="s">
        <v>57</v>
      </c>
      <c r="B3" s="2">
        <v>706.0</v>
      </c>
      <c r="C3" s="2">
        <v>166.0</v>
      </c>
      <c r="D3" s="2">
        <v>139.0</v>
      </c>
      <c r="E3" s="2">
        <v>52.0</v>
      </c>
      <c r="F3" s="2">
        <v>44.0</v>
      </c>
      <c r="G3" s="2">
        <v>48.0</v>
      </c>
      <c r="H3" s="2">
        <v>532.0</v>
      </c>
      <c r="I3" s="2">
        <v>1687.0</v>
      </c>
    </row>
    <row r="4">
      <c r="A4" s="2" t="s">
        <v>95</v>
      </c>
      <c r="B4" s="2">
        <v>187.0</v>
      </c>
      <c r="C4" s="2">
        <v>23.0</v>
      </c>
      <c r="D4" s="2">
        <v>30.0</v>
      </c>
      <c r="E4" s="2">
        <v>7.0</v>
      </c>
      <c r="F4" s="2">
        <v>5.0</v>
      </c>
      <c r="G4" s="2">
        <v>4.0</v>
      </c>
      <c r="H4" s="2">
        <v>111.0</v>
      </c>
      <c r="I4" s="2">
        <v>367.0</v>
      </c>
    </row>
    <row r="5">
      <c r="A5" s="2" t="s">
        <v>46</v>
      </c>
      <c r="B5" s="2">
        <v>925.0</v>
      </c>
      <c r="C5" s="2">
        <v>210.0</v>
      </c>
      <c r="D5" s="2">
        <v>149.0</v>
      </c>
      <c r="E5" s="2">
        <v>65.0</v>
      </c>
      <c r="F5" s="2">
        <v>36.0</v>
      </c>
      <c r="G5" s="2">
        <v>38.0</v>
      </c>
      <c r="H5" s="2">
        <v>632.0</v>
      </c>
      <c r="I5" s="2">
        <v>2055.0</v>
      </c>
    </row>
    <row r="6">
      <c r="A6" s="2" t="s">
        <v>48</v>
      </c>
      <c r="B6" s="2">
        <v>500.0</v>
      </c>
      <c r="C6" s="2">
        <v>104.0</v>
      </c>
      <c r="D6" s="2">
        <v>110.0</v>
      </c>
      <c r="E6" s="2">
        <v>47.0</v>
      </c>
      <c r="F6" s="2">
        <v>36.0</v>
      </c>
      <c r="G6" s="2">
        <v>21.0</v>
      </c>
      <c r="H6" s="2">
        <v>386.0</v>
      </c>
      <c r="I6" s="2">
        <v>1204.0</v>
      </c>
    </row>
    <row r="7">
      <c r="A7" s="2" t="s">
        <v>68</v>
      </c>
      <c r="B7" s="2">
        <v>2318.0</v>
      </c>
      <c r="C7" s="2">
        <v>503.0</v>
      </c>
      <c r="D7" s="2">
        <v>428.0</v>
      </c>
      <c r="E7" s="2">
        <v>171.0</v>
      </c>
      <c r="F7" s="2">
        <v>121.0</v>
      </c>
      <c r="G7" s="2">
        <v>111.0</v>
      </c>
      <c r="H7" s="2">
        <v>1661.0</v>
      </c>
      <c r="I7" s="2">
        <v>5313.0</v>
      </c>
    </row>
    <row r="9">
      <c r="A9" s="7" t="s">
        <v>172</v>
      </c>
    </row>
    <row r="10">
      <c r="A10" s="7" t="s">
        <v>50</v>
      </c>
      <c r="B10" s="2" t="s">
        <v>165</v>
      </c>
      <c r="C10" s="2" t="s">
        <v>166</v>
      </c>
      <c r="D10" s="2" t="s">
        <v>167</v>
      </c>
      <c r="E10" s="2" t="s">
        <v>168</v>
      </c>
      <c r="F10" s="2" t="s">
        <v>169</v>
      </c>
      <c r="G10" s="2" t="s">
        <v>170</v>
      </c>
      <c r="H10" s="7" t="s">
        <v>171</v>
      </c>
    </row>
    <row r="11">
      <c r="A11" s="2" t="s">
        <v>57</v>
      </c>
      <c r="B11" s="14">
        <f t="shared" ref="B11:H11" si="1">B3/1687</f>
        <v>0.4184943687</v>
      </c>
      <c r="C11" s="14">
        <f t="shared" si="1"/>
        <v>0.09839952579</v>
      </c>
      <c r="D11" s="14">
        <f t="shared" si="1"/>
        <v>0.08239478364</v>
      </c>
      <c r="E11" s="14">
        <f t="shared" si="1"/>
        <v>0.03082394784</v>
      </c>
      <c r="F11" s="14">
        <f t="shared" si="1"/>
        <v>0.02608180202</v>
      </c>
      <c r="G11" s="16">
        <f t="shared" si="1"/>
        <v>0.02845287493</v>
      </c>
      <c r="H11" s="14">
        <f t="shared" si="1"/>
        <v>0.3153526971</v>
      </c>
      <c r="I11" s="14"/>
    </row>
    <row r="12">
      <c r="A12" s="2" t="s">
        <v>95</v>
      </c>
      <c r="B12" s="16">
        <f t="shared" ref="B12:H12" si="2">B4/367</f>
        <v>0.5095367847</v>
      </c>
      <c r="C12" s="11">
        <f t="shared" si="2"/>
        <v>0.06267029973</v>
      </c>
      <c r="D12" s="14">
        <f t="shared" si="2"/>
        <v>0.08174386921</v>
      </c>
      <c r="E12" s="11">
        <f t="shared" si="2"/>
        <v>0.01907356948</v>
      </c>
      <c r="F12" s="11">
        <f t="shared" si="2"/>
        <v>0.0136239782</v>
      </c>
      <c r="G12" s="11">
        <f t="shared" si="2"/>
        <v>0.01089918256</v>
      </c>
      <c r="H12" s="14">
        <f t="shared" si="2"/>
        <v>0.3024523161</v>
      </c>
      <c r="I12" s="14"/>
    </row>
    <row r="13">
      <c r="A13" s="2" t="s">
        <v>46</v>
      </c>
      <c r="B13" s="14">
        <f t="shared" ref="B13:H13" si="3">B5/2055</f>
        <v>0.4501216545</v>
      </c>
      <c r="C13" s="16">
        <f t="shared" si="3"/>
        <v>0.102189781</v>
      </c>
      <c r="D13" s="14">
        <f t="shared" si="3"/>
        <v>0.07250608273</v>
      </c>
      <c r="E13" s="14">
        <f t="shared" si="3"/>
        <v>0.03163017032</v>
      </c>
      <c r="F13" s="14">
        <f t="shared" si="3"/>
        <v>0.01751824818</v>
      </c>
      <c r="G13" s="14">
        <f t="shared" si="3"/>
        <v>0.01849148418</v>
      </c>
      <c r="H13" s="14">
        <f t="shared" si="3"/>
        <v>0.3075425791</v>
      </c>
      <c r="I13" s="14"/>
    </row>
    <row r="14">
      <c r="A14" s="2" t="s">
        <v>48</v>
      </c>
      <c r="B14" s="14">
        <f t="shared" ref="B14:H14" si="4">B6/1204</f>
        <v>0.415282392</v>
      </c>
      <c r="C14" s="14">
        <f t="shared" si="4"/>
        <v>0.08637873754</v>
      </c>
      <c r="D14" s="16">
        <f t="shared" si="4"/>
        <v>0.09136212625</v>
      </c>
      <c r="E14" s="16">
        <f t="shared" si="4"/>
        <v>0.03903654485</v>
      </c>
      <c r="F14" s="16">
        <f t="shared" si="4"/>
        <v>0.02990033223</v>
      </c>
      <c r="G14" s="14">
        <f t="shared" si="4"/>
        <v>0.01744186047</v>
      </c>
      <c r="H14" s="14">
        <f t="shared" si="4"/>
        <v>0.3205980066</v>
      </c>
      <c r="I14" s="14"/>
    </row>
    <row r="15">
      <c r="A15" s="2" t="s">
        <v>68</v>
      </c>
      <c r="B15" s="14">
        <f t="shared" ref="B15:H15" si="5">B7/5313</f>
        <v>0.4362883493</v>
      </c>
      <c r="C15" s="14">
        <f t="shared" si="5"/>
        <v>0.0946734425</v>
      </c>
      <c r="D15" s="14">
        <f t="shared" si="5"/>
        <v>0.08055712404</v>
      </c>
      <c r="E15" s="14">
        <f t="shared" si="5"/>
        <v>0.0321852061</v>
      </c>
      <c r="F15" s="14">
        <f t="shared" si="5"/>
        <v>0.02277432712</v>
      </c>
      <c r="G15" s="14">
        <f t="shared" si="5"/>
        <v>0.02089215133</v>
      </c>
      <c r="H15" s="14">
        <f t="shared" si="5"/>
        <v>0.3126293996</v>
      </c>
      <c r="I15" s="14"/>
    </row>
    <row r="17">
      <c r="A17" s="7" t="s">
        <v>160</v>
      </c>
      <c r="H17" s="7"/>
    </row>
    <row r="18">
      <c r="A18" s="7" t="s">
        <v>50</v>
      </c>
      <c r="B18" s="2" t="s">
        <v>165</v>
      </c>
      <c r="C18" s="2" t="s">
        <v>166</v>
      </c>
      <c r="D18" s="2" t="s">
        <v>167</v>
      </c>
      <c r="E18" s="2" t="s">
        <v>168</v>
      </c>
      <c r="F18" s="2" t="s">
        <v>169</v>
      </c>
      <c r="G18" s="2" t="s">
        <v>170</v>
      </c>
      <c r="H18" s="7"/>
    </row>
    <row r="19">
      <c r="A19" s="33" t="s">
        <v>57</v>
      </c>
      <c r="B19" s="33">
        <v>51265.06</v>
      </c>
      <c r="C19" s="33">
        <v>11605.17</v>
      </c>
      <c r="D19" s="33">
        <v>9875.35</v>
      </c>
      <c r="E19" s="33">
        <v>3127.59</v>
      </c>
      <c r="F19" s="33">
        <v>2585.06</v>
      </c>
      <c r="G19" s="33">
        <v>1919.27</v>
      </c>
      <c r="H19" s="33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</row>
    <row r="20">
      <c r="A20" s="33" t="s">
        <v>95</v>
      </c>
      <c r="B20" s="33">
        <v>14544.52</v>
      </c>
      <c r="C20" s="33">
        <v>1527.8</v>
      </c>
      <c r="D20" s="33">
        <v>2858.52</v>
      </c>
      <c r="E20" s="33">
        <v>368.91</v>
      </c>
      <c r="F20" s="33">
        <v>386.12</v>
      </c>
      <c r="G20" s="33">
        <v>228.5</v>
      </c>
      <c r="H20" s="33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</row>
    <row r="21">
      <c r="A21" s="33" t="s">
        <v>46</v>
      </c>
      <c r="B21" s="33">
        <v>62518.11</v>
      </c>
      <c r="C21" s="33">
        <v>15704.24</v>
      </c>
      <c r="D21" s="33">
        <v>11231.1</v>
      </c>
      <c r="E21" s="33">
        <v>4566.1</v>
      </c>
      <c r="F21" s="33">
        <v>2391.54</v>
      </c>
      <c r="G21" s="33">
        <v>2361.46</v>
      </c>
      <c r="H21" s="33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</row>
    <row r="22">
      <c r="A22" s="33" t="s">
        <v>48</v>
      </c>
      <c r="B22" s="33">
        <v>29178.26</v>
      </c>
      <c r="C22" s="33">
        <v>5676.73</v>
      </c>
      <c r="D22" s="33">
        <v>7684.26</v>
      </c>
      <c r="E22" s="33">
        <v>3284.94</v>
      </c>
      <c r="F22" s="33">
        <v>2243.16</v>
      </c>
      <c r="G22" s="33">
        <v>1434.59</v>
      </c>
      <c r="H22" s="33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</row>
    <row r="23">
      <c r="A23" s="33" t="s">
        <v>68</v>
      </c>
      <c r="B23" s="33">
        <v>157505.94999999998</v>
      </c>
      <c r="C23" s="33">
        <v>34513.94</v>
      </c>
      <c r="D23" s="33">
        <v>31649.23</v>
      </c>
      <c r="E23" s="33">
        <v>11347.54</v>
      </c>
      <c r="F23" s="33">
        <v>7605.88</v>
      </c>
      <c r="G23" s="33">
        <v>5943.82</v>
      </c>
      <c r="H23" s="33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</row>
    <row r="25">
      <c r="A25" s="31" t="s">
        <v>84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</row>
    <row r="26">
      <c r="A26" s="31" t="s">
        <v>50</v>
      </c>
      <c r="B26" s="33" t="s">
        <v>165</v>
      </c>
      <c r="C26" s="33" t="s">
        <v>166</v>
      </c>
      <c r="D26" s="33" t="s">
        <v>167</v>
      </c>
      <c r="E26" s="33" t="s">
        <v>168</v>
      </c>
      <c r="F26" s="33" t="s">
        <v>169</v>
      </c>
      <c r="G26" s="33" t="s">
        <v>170</v>
      </c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</row>
    <row r="27">
      <c r="A27" s="33" t="s">
        <v>57</v>
      </c>
      <c r="B27" s="33">
        <v>72.61339943342776</v>
      </c>
      <c r="C27" s="33">
        <v>69.9106626506024</v>
      </c>
      <c r="D27" s="33">
        <v>71.04568345323742</v>
      </c>
      <c r="E27" s="33">
        <v>60.14596153846154</v>
      </c>
      <c r="F27" s="33">
        <v>58.751363636363635</v>
      </c>
      <c r="G27" s="33">
        <v>39.984791666666666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</row>
    <row r="28">
      <c r="A28" s="33" t="s">
        <v>95</v>
      </c>
      <c r="B28" s="36">
        <v>77.77818181818182</v>
      </c>
      <c r="C28" s="33">
        <v>66.42608695652174</v>
      </c>
      <c r="D28" s="36">
        <v>95.284</v>
      </c>
      <c r="E28" s="33">
        <v>52.70142857142857</v>
      </c>
      <c r="F28" s="36">
        <v>77.224</v>
      </c>
      <c r="G28" s="36">
        <v>57.125</v>
      </c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</row>
    <row r="29">
      <c r="A29" s="33" t="s">
        <v>46</v>
      </c>
      <c r="B29" s="33">
        <v>67.58714594594595</v>
      </c>
      <c r="C29" s="33">
        <v>74.78209523809524</v>
      </c>
      <c r="D29" s="33">
        <v>75.3765100671141</v>
      </c>
      <c r="E29" s="36">
        <v>70.24769230769232</v>
      </c>
      <c r="F29" s="33">
        <v>66.43166666666667</v>
      </c>
      <c r="G29" s="33">
        <v>62.14368421052632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</row>
    <row r="30">
      <c r="A30" s="33" t="s">
        <v>48</v>
      </c>
      <c r="B30" s="39">
        <v>58.356519999999996</v>
      </c>
      <c r="C30" s="39">
        <v>54.583942307692304</v>
      </c>
      <c r="D30" s="33">
        <v>69.8569090909091</v>
      </c>
      <c r="E30" s="36">
        <v>69.89234042553191</v>
      </c>
      <c r="F30" s="33">
        <v>62.309999999999995</v>
      </c>
      <c r="G30" s="33">
        <v>68.31380952380952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</row>
    <row r="31">
      <c r="A31" s="33" t="s">
        <v>68</v>
      </c>
      <c r="B31" s="33">
        <v>67.94907247627265</v>
      </c>
      <c r="C31" s="33">
        <v>68.6161829025845</v>
      </c>
      <c r="D31" s="33">
        <v>73.94679906542056</v>
      </c>
      <c r="E31" s="33">
        <v>66.35988304093567</v>
      </c>
      <c r="F31" s="33">
        <v>62.858512396694216</v>
      </c>
      <c r="G31" s="33">
        <v>53.54792792792792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</row>
    <row r="101" ht="16.5" customHeight="1"/>
  </sheetData>
  <mergeCells count="4">
    <mergeCell ref="A1:I1"/>
    <mergeCell ref="A9:H9"/>
    <mergeCell ref="A17:G17"/>
    <mergeCell ref="A25:G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66.25"/>
    <col customWidth="1" min="3" max="4" width="20.25"/>
  </cols>
  <sheetData>
    <row r="1">
      <c r="A1" s="21" t="s">
        <v>50</v>
      </c>
      <c r="B1" s="21" t="s">
        <v>173</v>
      </c>
      <c r="C1" s="21" t="s">
        <v>174</v>
      </c>
      <c r="D1" s="21" t="s">
        <v>175</v>
      </c>
    </row>
    <row r="2">
      <c r="A2" s="21" t="s">
        <v>57</v>
      </c>
      <c r="B2" s="88" t="s">
        <v>176</v>
      </c>
      <c r="C2" s="21">
        <v>29564.0</v>
      </c>
      <c r="D2" s="21">
        <v>32.28</v>
      </c>
    </row>
    <row r="3">
      <c r="A3" s="21" t="s">
        <v>57</v>
      </c>
      <c r="B3" s="88" t="s">
        <v>177</v>
      </c>
      <c r="C3" s="21">
        <v>11719.0</v>
      </c>
      <c r="D3" s="21">
        <v>12.8</v>
      </c>
    </row>
    <row r="4">
      <c r="A4" s="21" t="s">
        <v>57</v>
      </c>
      <c r="B4" s="88" t="s">
        <v>178</v>
      </c>
      <c r="C4" s="21">
        <v>8501.0</v>
      </c>
      <c r="D4" s="21">
        <v>9.28</v>
      </c>
    </row>
    <row r="5">
      <c r="A5" s="21" t="s">
        <v>57</v>
      </c>
      <c r="B5" s="88" t="s">
        <v>179</v>
      </c>
      <c r="C5" s="21">
        <v>6140.0</v>
      </c>
      <c r="D5" s="21">
        <v>6.7</v>
      </c>
    </row>
    <row r="6">
      <c r="A6" s="21" t="s">
        <v>57</v>
      </c>
      <c r="B6" s="88" t="s">
        <v>180</v>
      </c>
      <c r="C6" s="21">
        <v>3045.0</v>
      </c>
      <c r="D6" s="21">
        <v>3.32</v>
      </c>
    </row>
    <row r="7">
      <c r="A7" s="21" t="s">
        <v>57</v>
      </c>
      <c r="B7" s="88" t="s">
        <v>181</v>
      </c>
      <c r="C7" s="21">
        <v>2070.0</v>
      </c>
      <c r="D7" s="21">
        <v>2.26</v>
      </c>
    </row>
    <row r="8">
      <c r="A8" s="21" t="s">
        <v>57</v>
      </c>
      <c r="B8" s="88" t="s">
        <v>182</v>
      </c>
      <c r="C8" s="21">
        <v>2056.0</v>
      </c>
      <c r="D8" s="21">
        <v>2.24</v>
      </c>
    </row>
    <row r="9">
      <c r="A9" s="21" t="s">
        <v>57</v>
      </c>
      <c r="B9" s="88" t="s">
        <v>183</v>
      </c>
      <c r="C9" s="21">
        <v>1962.0</v>
      </c>
      <c r="D9" s="21">
        <v>2.14</v>
      </c>
    </row>
    <row r="10">
      <c r="A10" s="21" t="s">
        <v>57</v>
      </c>
      <c r="B10" s="88" t="s">
        <v>184</v>
      </c>
      <c r="C10" s="21">
        <v>1491.0</v>
      </c>
      <c r="D10" s="21">
        <v>1.63</v>
      </c>
    </row>
    <row r="11">
      <c r="A11" s="21" t="s">
        <v>57</v>
      </c>
      <c r="B11" s="88" t="s">
        <v>185</v>
      </c>
      <c r="C11" s="21">
        <v>1478.0</v>
      </c>
      <c r="D11" s="21">
        <v>1.61</v>
      </c>
    </row>
    <row r="12">
      <c r="A12" s="21" t="s">
        <v>95</v>
      </c>
      <c r="B12" s="88" t="s">
        <v>176</v>
      </c>
      <c r="C12" s="21">
        <v>3723.0</v>
      </c>
      <c r="D12" s="21">
        <v>24.82</v>
      </c>
    </row>
    <row r="13">
      <c r="A13" s="21" t="s">
        <v>95</v>
      </c>
      <c r="B13" s="88" t="s">
        <v>177</v>
      </c>
      <c r="C13" s="21">
        <v>2376.0</v>
      </c>
      <c r="D13" s="21">
        <v>15.84</v>
      </c>
    </row>
    <row r="14">
      <c r="A14" s="21" t="s">
        <v>95</v>
      </c>
      <c r="B14" s="88" t="s">
        <v>180</v>
      </c>
      <c r="C14" s="21">
        <v>1687.0</v>
      </c>
      <c r="D14" s="21">
        <v>11.25</v>
      </c>
    </row>
    <row r="15">
      <c r="A15" s="21" t="s">
        <v>95</v>
      </c>
      <c r="B15" s="88" t="s">
        <v>179</v>
      </c>
      <c r="C15" s="21">
        <v>1298.0</v>
      </c>
      <c r="D15" s="21">
        <v>8.66</v>
      </c>
    </row>
    <row r="16">
      <c r="A16" s="21" t="s">
        <v>95</v>
      </c>
      <c r="B16" s="88" t="s">
        <v>182</v>
      </c>
      <c r="C16" s="21">
        <v>869.0</v>
      </c>
      <c r="D16" s="21">
        <v>5.79</v>
      </c>
    </row>
    <row r="17">
      <c r="A17" s="21" t="s">
        <v>95</v>
      </c>
      <c r="B17" s="88" t="s">
        <v>178</v>
      </c>
      <c r="C17" s="21">
        <v>598.0</v>
      </c>
      <c r="D17" s="21">
        <v>3.99</v>
      </c>
    </row>
    <row r="18">
      <c r="A18" s="21" t="s">
        <v>95</v>
      </c>
      <c r="B18" s="88" t="s">
        <v>181</v>
      </c>
      <c r="C18" s="21">
        <v>318.0</v>
      </c>
      <c r="D18" s="21">
        <v>2.12</v>
      </c>
    </row>
    <row r="19">
      <c r="A19" s="21" t="s">
        <v>95</v>
      </c>
      <c r="B19" s="88" t="s">
        <v>183</v>
      </c>
      <c r="C19" s="21">
        <v>264.0</v>
      </c>
      <c r="D19" s="21">
        <v>1.76</v>
      </c>
    </row>
    <row r="20">
      <c r="A20" s="21" t="s">
        <v>95</v>
      </c>
      <c r="B20" s="88" t="s">
        <v>184</v>
      </c>
      <c r="C20" s="21">
        <v>206.0</v>
      </c>
      <c r="D20" s="21">
        <v>1.37</v>
      </c>
    </row>
    <row r="21">
      <c r="A21" s="21" t="s">
        <v>95</v>
      </c>
      <c r="B21" s="88" t="s">
        <v>186</v>
      </c>
      <c r="C21" s="21">
        <v>205.0</v>
      </c>
      <c r="D21" s="21">
        <v>1.37</v>
      </c>
    </row>
    <row r="22">
      <c r="A22" s="21" t="s">
        <v>46</v>
      </c>
      <c r="B22" s="88" t="s">
        <v>176</v>
      </c>
      <c r="C22" s="21">
        <v>26255.0</v>
      </c>
      <c r="D22" s="21">
        <v>26.93</v>
      </c>
    </row>
    <row r="23">
      <c r="A23" s="21" t="s">
        <v>46</v>
      </c>
      <c r="B23" s="88" t="s">
        <v>180</v>
      </c>
      <c r="C23" s="21">
        <v>11175.0</v>
      </c>
      <c r="D23" s="21">
        <v>11.46</v>
      </c>
    </row>
    <row r="24">
      <c r="A24" s="21" t="s">
        <v>46</v>
      </c>
      <c r="B24" s="88" t="s">
        <v>177</v>
      </c>
      <c r="C24" s="21">
        <v>9350.0</v>
      </c>
      <c r="D24" s="21">
        <v>9.59</v>
      </c>
    </row>
    <row r="25">
      <c r="A25" s="21" t="s">
        <v>46</v>
      </c>
      <c r="B25" s="88" t="s">
        <v>187</v>
      </c>
      <c r="C25" s="21">
        <v>7849.0</v>
      </c>
      <c r="D25" s="21">
        <v>8.05</v>
      </c>
    </row>
    <row r="26">
      <c r="A26" s="21" t="s">
        <v>46</v>
      </c>
      <c r="B26" s="88" t="s">
        <v>179</v>
      </c>
      <c r="C26" s="21">
        <v>6633.0</v>
      </c>
      <c r="D26" s="21">
        <v>6.8</v>
      </c>
    </row>
    <row r="27">
      <c r="A27" s="21" t="s">
        <v>46</v>
      </c>
      <c r="B27" s="88" t="s">
        <v>178</v>
      </c>
      <c r="C27" s="21">
        <v>5829.0</v>
      </c>
      <c r="D27" s="21">
        <v>5.98</v>
      </c>
    </row>
    <row r="28">
      <c r="A28" s="21" t="s">
        <v>46</v>
      </c>
      <c r="B28" s="88" t="s">
        <v>182</v>
      </c>
      <c r="C28" s="21">
        <v>4399.0</v>
      </c>
      <c r="D28" s="21">
        <v>4.51</v>
      </c>
    </row>
    <row r="29">
      <c r="A29" s="21" t="s">
        <v>46</v>
      </c>
      <c r="B29" s="88" t="s">
        <v>181</v>
      </c>
      <c r="C29" s="21">
        <v>1637.0</v>
      </c>
      <c r="D29" s="21">
        <v>1.68</v>
      </c>
    </row>
    <row r="30">
      <c r="A30" s="21" t="s">
        <v>46</v>
      </c>
      <c r="B30" s="88" t="s">
        <v>184</v>
      </c>
      <c r="C30" s="21">
        <v>1528.0</v>
      </c>
      <c r="D30" s="21">
        <v>1.57</v>
      </c>
    </row>
    <row r="31">
      <c r="A31" s="21" t="s">
        <v>46</v>
      </c>
      <c r="B31" s="88" t="s">
        <v>186</v>
      </c>
      <c r="C31" s="21">
        <v>1290.0</v>
      </c>
      <c r="D31" s="21">
        <v>1.32</v>
      </c>
    </row>
    <row r="32">
      <c r="A32" s="21" t="s">
        <v>48</v>
      </c>
      <c r="B32" s="88" t="s">
        <v>176</v>
      </c>
      <c r="C32" s="21">
        <v>27418.0</v>
      </c>
      <c r="D32" s="21">
        <v>22.4</v>
      </c>
    </row>
    <row r="33">
      <c r="A33" s="21" t="s">
        <v>48</v>
      </c>
      <c r="B33" s="88" t="s">
        <v>180</v>
      </c>
      <c r="C33" s="21">
        <v>19822.0</v>
      </c>
      <c r="D33" s="21">
        <v>16.19</v>
      </c>
    </row>
    <row r="34">
      <c r="A34" s="21" t="s">
        <v>48</v>
      </c>
      <c r="B34" s="88" t="s">
        <v>177</v>
      </c>
      <c r="C34" s="21">
        <v>15166.0</v>
      </c>
      <c r="D34" s="21">
        <v>12.39</v>
      </c>
    </row>
    <row r="35">
      <c r="A35" s="21" t="s">
        <v>48</v>
      </c>
      <c r="B35" s="88" t="s">
        <v>187</v>
      </c>
      <c r="C35" s="21">
        <v>8478.0</v>
      </c>
      <c r="D35" s="21">
        <v>6.93</v>
      </c>
    </row>
    <row r="36">
      <c r="A36" s="21" t="s">
        <v>48</v>
      </c>
      <c r="B36" s="88" t="s">
        <v>179</v>
      </c>
      <c r="C36" s="21">
        <v>8218.0</v>
      </c>
      <c r="D36" s="21">
        <v>6.71</v>
      </c>
    </row>
    <row r="37">
      <c r="A37" s="21" t="s">
        <v>48</v>
      </c>
      <c r="B37" s="88" t="s">
        <v>182</v>
      </c>
      <c r="C37" s="21">
        <v>6329.0</v>
      </c>
      <c r="D37" s="21">
        <v>5.17</v>
      </c>
    </row>
    <row r="38">
      <c r="A38" s="21" t="s">
        <v>48</v>
      </c>
      <c r="B38" s="88" t="s">
        <v>178</v>
      </c>
      <c r="C38" s="21">
        <v>6277.0</v>
      </c>
      <c r="D38" s="21">
        <v>5.13</v>
      </c>
    </row>
    <row r="39">
      <c r="A39" s="21" t="s">
        <v>48</v>
      </c>
      <c r="B39" s="88" t="s">
        <v>181</v>
      </c>
      <c r="C39" s="21">
        <v>2571.0</v>
      </c>
      <c r="D39" s="21">
        <v>2.1</v>
      </c>
    </row>
    <row r="40">
      <c r="A40" s="21" t="s">
        <v>48</v>
      </c>
      <c r="B40" s="88" t="s">
        <v>183</v>
      </c>
      <c r="C40" s="21">
        <v>1967.0</v>
      </c>
      <c r="D40" s="21">
        <v>1.61</v>
      </c>
    </row>
    <row r="41">
      <c r="A41" s="21" t="s">
        <v>48</v>
      </c>
      <c r="B41" s="88" t="s">
        <v>188</v>
      </c>
      <c r="C41" s="21">
        <v>1558.0</v>
      </c>
      <c r="D41" s="21">
        <v>1.27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drawing r:id="rId41"/>
</worksheet>
</file>